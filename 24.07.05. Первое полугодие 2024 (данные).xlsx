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Отдел закупочной логистики\Общая для обмена\Король\Текущее\2020\Презентация\2024 (1-е полугодие)\"/>
    </mc:Choice>
  </mc:AlternateContent>
  <xr:revisionPtr revIDLastSave="0" documentId="13_ncr:1_{81D41F83-B15D-4038-818E-A4DCCD63C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статки всего" sheetId="1" r:id="rId1"/>
    <sheet name="Склады" sheetId="2" r:id="rId2"/>
    <sheet name="Группы" sheetId="3" r:id="rId3"/>
    <sheet name="Предварительные оплаты" sheetId="16" r:id="rId4"/>
    <sheet name="РБ" sheetId="4" r:id="rId5"/>
    <sheet name="РФ" sheetId="5" r:id="rId6"/>
    <sheet name="Керхер" sheetId="6" r:id="rId7"/>
    <sheet name="Розница" sheetId="7" r:id="rId8"/>
    <sheet name="СМГ для ЧСТ" sheetId="8" r:id="rId9"/>
    <sheet name="СМГ для ЧСТ 1-ый квартал" sheetId="9" r:id="rId10"/>
    <sheet name="Поставщики Китай" sheetId="10" r:id="rId11"/>
    <sheet name="Закупки РФ-РФ" sheetId="11" r:id="rId12"/>
    <sheet name="Закупки РФ-РФ (таблица)" sheetId="12" r:id="rId13"/>
    <sheet name="4-ый квартал 2023" sheetId="13" r:id="rId14"/>
    <sheet name="1-ый квартал 2024" sheetId="14" r:id="rId15"/>
    <sheet name="4-ый квартал 2023 (сравнение)" sheetId="15" r:id="rId16"/>
  </sheets>
  <definedNames>
    <definedName name="_xlnm._FilterDatabase" localSheetId="14" hidden="1">'1-ый квартал 2024'!$A$10:$B$41</definedName>
    <definedName name="_xlnm._FilterDatabase" localSheetId="13" hidden="1">'4-ый квартал 2023'!$A$8:$B$63</definedName>
    <definedName name="_xlnm._FilterDatabase" localSheetId="15" hidden="1">'4-ый квартал 2023 (сравнение)'!$A$8:$B$24</definedName>
    <definedName name="_xlnm._FilterDatabase" localSheetId="12" hidden="1">'Закупки РФ-РФ (таблица)'!$A$3:$B$40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E25" i="1"/>
  <c r="E23" i="1"/>
  <c r="E17" i="1"/>
  <c r="D23" i="1"/>
  <c r="D17" i="1"/>
  <c r="B9" i="1"/>
  <c r="B8" i="1"/>
  <c r="B7" i="1"/>
  <c r="B6" i="1"/>
  <c r="B35" i="16"/>
  <c r="B34" i="16"/>
  <c r="B33" i="16"/>
  <c r="B32" i="16"/>
  <c r="E24" i="16"/>
  <c r="E23" i="16"/>
  <c r="E22" i="16"/>
  <c r="E21" i="16"/>
  <c r="D24" i="16"/>
  <c r="F24" i="16" s="1"/>
  <c r="D23" i="16"/>
  <c r="F23" i="16" s="1"/>
  <c r="D14" i="16"/>
  <c r="E14" i="16"/>
  <c r="D22" i="16"/>
  <c r="F22" i="16" s="1"/>
  <c r="D21" i="16"/>
  <c r="F21" i="16" s="1"/>
  <c r="D20" i="16"/>
  <c r="F20" i="16" s="1"/>
  <c r="D15" i="16"/>
  <c r="D13" i="16"/>
  <c r="D12" i="16"/>
  <c r="F12" i="16" s="1"/>
  <c r="D11" i="16"/>
  <c r="D10" i="16"/>
  <c r="F10" i="16" s="1"/>
  <c r="D9" i="16"/>
  <c r="F9" i="16" s="1"/>
  <c r="D8" i="16"/>
  <c r="F8" i="16" s="1"/>
  <c r="D7" i="16"/>
  <c r="F7" i="16" s="1"/>
  <c r="D6" i="16"/>
  <c r="F6" i="16" s="1"/>
  <c r="D5" i="16"/>
  <c r="F5" i="16" s="1"/>
  <c r="D4" i="16"/>
  <c r="D3" i="16"/>
  <c r="F3" i="16" s="1"/>
  <c r="I6" i="16"/>
  <c r="E13" i="16" s="1"/>
  <c r="E5" i="16"/>
  <c r="E3" i="16"/>
  <c r="I5" i="16"/>
  <c r="E6" i="16" s="1"/>
  <c r="E12" i="16"/>
  <c r="E10" i="16"/>
  <c r="E9" i="16"/>
  <c r="E8" i="16"/>
  <c r="E7" i="16"/>
  <c r="I7" i="16"/>
  <c r="E11" i="16" s="1"/>
  <c r="M29" i="6"/>
  <c r="N28" i="6"/>
  <c r="N29" i="6" s="1"/>
  <c r="N27" i="6"/>
  <c r="N26" i="6"/>
  <c r="L29" i="6"/>
  <c r="C25" i="4"/>
  <c r="B25" i="4"/>
  <c r="E19" i="3"/>
  <c r="F19" i="3"/>
  <c r="E4" i="3"/>
  <c r="F4" i="3"/>
  <c r="C13" i="2"/>
  <c r="C14" i="2"/>
  <c r="C15" i="2"/>
  <c r="E10" i="15"/>
  <c r="E11" i="15"/>
  <c r="E12" i="15"/>
  <c r="E13" i="15"/>
  <c r="E14" i="15"/>
  <c r="E15" i="15"/>
  <c r="E16" i="15"/>
  <c r="E17" i="15"/>
  <c r="E18" i="15"/>
  <c r="E19" i="15"/>
  <c r="E21" i="15"/>
  <c r="E22" i="15"/>
  <c r="E23" i="15"/>
  <c r="E24" i="15"/>
  <c r="E28" i="15"/>
  <c r="E29" i="15"/>
  <c r="B30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6" i="15"/>
  <c r="D27" i="15"/>
  <c r="D28" i="15"/>
  <c r="D29" i="15"/>
  <c r="C9" i="15"/>
  <c r="D9" i="15" s="1"/>
  <c r="C25" i="15"/>
  <c r="E25" i="15" s="1"/>
  <c r="C77" i="15"/>
  <c r="B77" i="15"/>
  <c r="C56" i="15"/>
  <c r="B56" i="15"/>
  <c r="C64" i="13"/>
  <c r="C9" i="13"/>
  <c r="B42" i="14"/>
  <c r="J5" i="12"/>
  <c r="J12" i="12" s="1"/>
  <c r="B18" i="12"/>
  <c r="B42" i="12"/>
  <c r="B33" i="12"/>
  <c r="B5" i="12"/>
  <c r="I1717" i="11"/>
  <c r="F25" i="16" l="1"/>
  <c r="E20" i="16"/>
  <c r="E25" i="16" s="1"/>
  <c r="F11" i="16"/>
  <c r="E4" i="16"/>
  <c r="F13" i="16"/>
  <c r="F4" i="16"/>
  <c r="F14" i="16"/>
  <c r="F15" i="16"/>
  <c r="F16" i="16"/>
  <c r="E29" i="16"/>
  <c r="E30" i="16" s="1"/>
  <c r="E15" i="16"/>
  <c r="L8" i="12"/>
  <c r="I7" i="12"/>
  <c r="I8" i="12"/>
  <c r="I9" i="12"/>
  <c r="I10" i="12"/>
  <c r="I11" i="12"/>
  <c r="I4" i="12"/>
  <c r="I5" i="12"/>
  <c r="I6" i="12"/>
  <c r="E9" i="15"/>
  <c r="D25" i="15"/>
  <c r="C30" i="15"/>
  <c r="E30" i="15" s="1"/>
  <c r="D30" i="15"/>
  <c r="F11" i="7"/>
  <c r="F12" i="7"/>
  <c r="F13" i="7"/>
  <c r="F14" i="7"/>
  <c r="E6" i="5"/>
  <c r="E7" i="5"/>
  <c r="D3" i="2"/>
  <c r="D4" i="2"/>
  <c r="D5" i="2"/>
  <c r="D6" i="2"/>
  <c r="D7" i="2"/>
  <c r="D8" i="2"/>
  <c r="D9" i="2"/>
  <c r="D10" i="2"/>
  <c r="D11" i="2"/>
  <c r="D12" i="2"/>
  <c r="D13" i="2"/>
  <c r="D2" i="2"/>
  <c r="E16" i="16" l="1"/>
  <c r="B15" i="2"/>
  <c r="B14" i="2"/>
  <c r="D14" i="2" l="1"/>
  <c r="D15" i="2"/>
  <c r="D4" i="10"/>
  <c r="C4" i="10"/>
  <c r="D9" i="10"/>
  <c r="C9" i="10"/>
  <c r="F8" i="10"/>
  <c r="E8" i="10"/>
  <c r="F7" i="10"/>
  <c r="E7" i="10"/>
  <c r="F5" i="10"/>
  <c r="E5" i="10"/>
  <c r="F4" i="10"/>
  <c r="E4" i="10"/>
  <c r="F3" i="10"/>
  <c r="E3" i="10"/>
  <c r="E9" i="10" l="1"/>
  <c r="D7" i="9"/>
  <c r="D9" i="9"/>
  <c r="D10" i="9"/>
  <c r="D11" i="9"/>
  <c r="C15" i="9"/>
  <c r="D12" i="9" s="1"/>
  <c r="E2" i="8"/>
  <c r="C13" i="8"/>
  <c r="F13" i="8" s="1"/>
  <c r="D16" i="8"/>
  <c r="C16" i="8"/>
  <c r="F15" i="8"/>
  <c r="E15" i="8"/>
  <c r="F14" i="8"/>
  <c r="E14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D8" i="9" l="1"/>
  <c r="D14" i="9"/>
  <c r="D4" i="9"/>
  <c r="D6" i="9"/>
  <c r="D2" i="9"/>
  <c r="D3" i="9"/>
  <c r="D5" i="9"/>
  <c r="D13" i="9"/>
  <c r="E16" i="8"/>
  <c r="B44" i="7"/>
  <c r="C37" i="7"/>
  <c r="D37" i="7"/>
  <c r="B43" i="7" s="1"/>
  <c r="E37" i="7"/>
  <c r="B41" i="7" s="1"/>
  <c r="B37" i="7"/>
  <c r="B42" i="7" s="1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22" i="7"/>
  <c r="C7" i="7"/>
  <c r="D7" i="7"/>
  <c r="E7" i="7"/>
  <c r="B7" i="7"/>
  <c r="C15" i="7"/>
  <c r="D15" i="7"/>
  <c r="E15" i="7"/>
  <c r="B15" i="7"/>
  <c r="N22" i="6"/>
  <c r="N23" i="6"/>
  <c r="N25" i="6"/>
  <c r="N24" i="6"/>
  <c r="N11" i="6"/>
  <c r="B10" i="6"/>
  <c r="N21" i="6"/>
  <c r="N20" i="6"/>
  <c r="N13" i="6"/>
  <c r="N12" i="6"/>
  <c r="G10" i="6"/>
  <c r="N16" i="6" s="1"/>
  <c r="F10" i="6"/>
  <c r="N15" i="6" s="1"/>
  <c r="E10" i="6"/>
  <c r="N14" i="6" s="1"/>
  <c r="D10" i="6"/>
  <c r="C10" i="6"/>
  <c r="G5" i="6"/>
  <c r="F5" i="6"/>
  <c r="E5" i="6"/>
  <c r="D5" i="6"/>
  <c r="N19" i="6" s="1"/>
  <c r="C5" i="6"/>
  <c r="N18" i="6" s="1"/>
  <c r="B5" i="6"/>
  <c r="N17" i="6" s="1"/>
  <c r="F15" i="7" l="1"/>
  <c r="E2" i="9"/>
  <c r="C12" i="5"/>
  <c r="B12" i="5"/>
  <c r="E11" i="5"/>
  <c r="D11" i="5"/>
  <c r="E10" i="5"/>
  <c r="D10" i="5"/>
  <c r="E9" i="5"/>
  <c r="D9" i="5"/>
  <c r="E8" i="5"/>
  <c r="D8" i="5"/>
  <c r="D7" i="5"/>
  <c r="D6" i="5"/>
  <c r="E5" i="5"/>
  <c r="D5" i="5"/>
  <c r="E4" i="5"/>
  <c r="D4" i="5"/>
  <c r="E3" i="5"/>
  <c r="D3" i="5"/>
  <c r="E25" i="4"/>
  <c r="D25" i="4"/>
  <c r="E24" i="4"/>
  <c r="D24" i="4"/>
  <c r="E18" i="4"/>
  <c r="C16" i="5" l="1"/>
  <c r="H26" i="3"/>
  <c r="D22" i="3"/>
  <c r="D27" i="3" s="1"/>
  <c r="C22" i="3"/>
  <c r="C27" i="3" s="1"/>
  <c r="F21" i="3"/>
  <c r="E21" i="3"/>
  <c r="F20" i="3"/>
  <c r="E20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3" i="3"/>
  <c r="E3" i="3"/>
  <c r="F2" i="3"/>
  <c r="E2" i="3"/>
  <c r="E22" i="3" l="1"/>
  <c r="F22" i="3"/>
</calcChain>
</file>

<file path=xl/sharedStrings.xml><?xml version="1.0" encoding="utf-8"?>
<sst xmlns="http://schemas.openxmlformats.org/spreadsheetml/2006/main" count="3736" uniqueCount="1452">
  <si>
    <t>Брест магазин розн.</t>
  </si>
  <si>
    <t>Витебск магазин розн.</t>
  </si>
  <si>
    <t>Гомель магазин розн.</t>
  </si>
  <si>
    <t>Гродно магазин розн.</t>
  </si>
  <si>
    <t>Брест отдел продаж</t>
  </si>
  <si>
    <t>Витебск отдел продаж</t>
  </si>
  <si>
    <t>Гомель отдел продаж</t>
  </si>
  <si>
    <t>Гродно отдел продаж</t>
  </si>
  <si>
    <t>Могилев отдел продаж</t>
  </si>
  <si>
    <t>ГС Малиновка ОБЩИЙ</t>
  </si>
  <si>
    <t>ГС Уручье</t>
  </si>
  <si>
    <t>СЕРВИС</t>
  </si>
  <si>
    <t xml:space="preserve">Сервис/ Ермола А.А.			</t>
  </si>
  <si>
    <t xml:space="preserve">Сервис/ Земский А.Н.			</t>
  </si>
  <si>
    <t xml:space="preserve">Сервис/ Зорич И.И.			</t>
  </si>
  <si>
    <t xml:space="preserve">Сервис/ Киселев А.В.			</t>
  </si>
  <si>
    <t xml:space="preserve">Сервис/ Ковзелев Е. В.			</t>
  </si>
  <si>
    <t xml:space="preserve">Сервис/ Лапко С. А.			</t>
  </si>
  <si>
    <t xml:space="preserve">Сервис/ Малецкий В.В.			</t>
  </si>
  <si>
    <t xml:space="preserve">Сервис/ Мельник П. Н.			</t>
  </si>
  <si>
    <t xml:space="preserve">Сервис/ Таран С. В.			</t>
  </si>
  <si>
    <t xml:space="preserve">Сервис/ Холецкий К. А.			</t>
  </si>
  <si>
    <t xml:space="preserve">Сервис/ ЗПЧ для выпуска ГП			</t>
  </si>
  <si>
    <t xml:space="preserve">Сервис/ Производственный отдел			</t>
  </si>
  <si>
    <t>Поставщик</t>
  </si>
  <si>
    <t>R+M</t>
  </si>
  <si>
    <t>IPL</t>
  </si>
  <si>
    <t>ТОРК РФ</t>
  </si>
  <si>
    <t>ТОРК Европа</t>
  </si>
  <si>
    <t>Haug</t>
  </si>
  <si>
    <t>VDM</t>
  </si>
  <si>
    <t>Vikan</t>
  </si>
  <si>
    <t>КЕРХЕР H&amp;G</t>
  </si>
  <si>
    <t>КЕРХЕР проф</t>
  </si>
  <si>
    <t>Моющие головы КИТАЙ</t>
  </si>
  <si>
    <t>Аксессуары, запасные части КИТАЙ</t>
  </si>
  <si>
    <t>Многоступенчатые насос и электродвигатели КИТАЙ</t>
  </si>
  <si>
    <t>Плунжерные насосы КИТАЙ</t>
  </si>
  <si>
    <t>Барабаны КИТАЙ</t>
  </si>
  <si>
    <t>Поставщики РБ</t>
  </si>
  <si>
    <t>Поставщики РФ</t>
  </si>
  <si>
    <t>Сяський ЦБК</t>
  </si>
  <si>
    <t>Химия</t>
  </si>
  <si>
    <t>Остатки по себестоимости 31.12.2023, бел.руб. без НДС</t>
  </si>
  <si>
    <t>Остатки по себестоимости 31.03.2024, бел.руб. без НДС</t>
  </si>
  <si>
    <t xml:space="preserve">ГС Малиновка ОБЩИЙ			</t>
  </si>
  <si>
    <t>Сервис/ Дроздов Р.О .</t>
  </si>
  <si>
    <t xml:space="preserve">Сервис/ Костюк Д. Н.			</t>
  </si>
  <si>
    <t>Склад</t>
  </si>
  <si>
    <t>Разница 31.03.2024 к 31.12.2023, бел.руб. без НДС</t>
  </si>
  <si>
    <t>Разница 31.03.2024 к 31.12.2023, %</t>
  </si>
  <si>
    <t>Поставщики</t>
  </si>
  <si>
    <t>Комета</t>
  </si>
  <si>
    <t>Концепт Пластик</t>
  </si>
  <si>
    <t>Мирпак</t>
  </si>
  <si>
    <t>МЛ Текс</t>
  </si>
  <si>
    <t>Проф-сервис</t>
  </si>
  <si>
    <t>Профстрой</t>
  </si>
  <si>
    <t>Секо</t>
  </si>
  <si>
    <t>Юнибрайт Рус</t>
  </si>
  <si>
    <t>АСД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</si>
  <si>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</si>
  <si>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</si>
  <si>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</si>
  <si>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</si>
  <si>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</si>
  <si>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</si>
  <si>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Месяц</t>
  </si>
  <si>
    <t>Реализация по себестоимости, бел.руб. без НДС</t>
  </si>
  <si>
    <t>Сумма закупки, бел.руб. без НДС</t>
  </si>
  <si>
    <t>Январь 2023</t>
  </si>
  <si>
    <t>Февраль 2023</t>
  </si>
  <si>
    <t>Март 2023</t>
  </si>
  <si>
    <t>Апрель 2023</t>
  </si>
  <si>
    <t>Май 2023</t>
  </si>
  <si>
    <t>Июнь 2023</t>
  </si>
  <si>
    <t>Январь 2024</t>
  </si>
  <si>
    <t>Февраль 2024</t>
  </si>
  <si>
    <t>Март 2024</t>
  </si>
  <si>
    <t>Остатки на 31.12.2022</t>
  </si>
  <si>
    <t>Остатки на 30.06.2023</t>
  </si>
  <si>
    <t>Остатки на 31.12.2023</t>
  </si>
  <si>
    <t>Остатки на 31.03.2024</t>
  </si>
  <si>
    <t>Керхер</t>
  </si>
  <si>
    <t>Весь ассортимент</t>
  </si>
  <si>
    <t>Витебск</t>
  </si>
  <si>
    <t>Гродно</t>
  </si>
  <si>
    <t>Гомель</t>
  </si>
  <si>
    <t>Брест</t>
  </si>
  <si>
    <t>Март</t>
  </si>
  <si>
    <t>Апрель</t>
  </si>
  <si>
    <t>Сентярь 2023</t>
  </si>
  <si>
    <t>Pest West (мухоловки)</t>
  </si>
  <si>
    <t>АгроПищеПром</t>
  </si>
  <si>
    <t>БАРАБАНЫ</t>
  </si>
  <si>
    <t>HAUG</t>
  </si>
  <si>
    <t>КЕРХЕР ВЕСЬ</t>
  </si>
  <si>
    <t>ПОСТАВЩИКИ КИТАЙ</t>
  </si>
  <si>
    <t>ПОСТАВЩИКИ РБ</t>
  </si>
  <si>
    <t>ПОСТАВЩИКИ РФ</t>
  </si>
  <si>
    <t>Собственные продукты - СИСТЕМЫ</t>
  </si>
  <si>
    <t>Собственные продукты - ЗАПАСНЫЕ ЧАСТИ</t>
  </si>
  <si>
    <t>Ультрамедтех</t>
  </si>
  <si>
    <t>ИТОГО, бел.руб. без НДС</t>
  </si>
  <si>
    <t>TENNANT</t>
  </si>
  <si>
    <t>1-ый квартал 2024 год по себестоимости, бел.руб. без НДС</t>
  </si>
  <si>
    <t>4-ый квартал 2023 год по себестоимости, бел.руб. без НДС</t>
  </si>
  <si>
    <t>Динамика 2024 (1-ый квартал) год к 2023 (4-ый квартал) году, бел.руб. без НДС</t>
  </si>
  <si>
    <t>Динамика 2024 (1-ый квартал) год к 2023 (4-ый квартал) году, %</t>
  </si>
  <si>
    <t>Частотные преобразователи</t>
  </si>
  <si>
    <t>Моющие головы</t>
  </si>
  <si>
    <t>Аксессуары и запасные части</t>
  </si>
  <si>
    <t>Многоступенчатые насосы</t>
  </si>
  <si>
    <t>Двигатели</t>
  </si>
  <si>
    <t>Плунжерные насосы</t>
  </si>
  <si>
    <t>Барабаны</t>
  </si>
  <si>
    <t>-</t>
  </si>
  <si>
    <t>СЕРВИС Инженеры</t>
  </si>
  <si>
    <t>Производственный отдел</t>
  </si>
  <si>
    <t>Остатки на 31.12.2022, по себестоимости бел.руб. без НДС</t>
  </si>
  <si>
    <t>Остатки на 30.06.2023, по себестоимости бел.руб. без НДС</t>
  </si>
  <si>
    <t>Остатки на 31.12.2023, по себестоимости бел.руб. без НДС</t>
  </si>
  <si>
    <t>Остатки на 31.03.2024, по себестоимости бел.руб. без НДС</t>
  </si>
  <si>
    <t>Отдел розницы</t>
  </si>
  <si>
    <t>Период</t>
  </si>
  <si>
    <t>Реализация по себестоимость бел.руб. без НДС</t>
  </si>
  <si>
    <t>Средняя реалзиация за последние 6 месяцев, по себестоимости бел.руб. без НДС</t>
  </si>
  <si>
    <t>Остатки на кол-во месяцев</t>
  </si>
  <si>
    <t>Кол-во месяцев</t>
  </si>
  <si>
    <t>Разница Закупки к Реализации, бел.руб. без НДС</t>
  </si>
  <si>
    <t>Параметры:</t>
  </si>
  <si>
    <t>Период: 01.01.2024 - 31.03.2024</t>
  </si>
  <si>
    <t>Тип объекта: Документы</t>
  </si>
  <si>
    <t>Имя объекта: ПриобретениеТоваровУслуг</t>
  </si>
  <si>
    <t>Имя таблицы: Товары</t>
  </si>
  <si>
    <t>Выводить количество подчиненных записей: Нет</t>
  </si>
  <si>
    <t>Приобретение товаров и услуг.Поставщик</t>
  </si>
  <si>
    <t>Количество (в единицах хранения)</t>
  </si>
  <si>
    <t>Сумма</t>
  </si>
  <si>
    <t>Сумма НДС</t>
  </si>
  <si>
    <t>Сумма с НДС</t>
  </si>
  <si>
    <t>Приобретение товаров и услуг</t>
  </si>
  <si>
    <t>Номенклатура</t>
  </si>
  <si>
    <t>Ставка НДС</t>
  </si>
  <si>
    <t>АВС - ЭЛЕКТРО ООО</t>
  </si>
  <si>
    <t>Приобретение товаров и услуг ЧСЦБ-000207 от 20.02.2024 23:59:59</t>
  </si>
  <si>
    <t>36682 Фронтальные доп. контакты</t>
  </si>
  <si>
    <t>20%</t>
  </si>
  <si>
    <t>1530301 Контактор MC1D 3-пол 32А Н0+Н3 24В ВС Systeme Electric</t>
  </si>
  <si>
    <t>479534 Выключатель автомат. для защ. двигателя MS116-32.0 10кА</t>
  </si>
  <si>
    <t>АСТРА ООО</t>
  </si>
  <si>
    <t>Приобретение товаров и услуг ЧСЦБ-000175 от 09.02.2024 12:00:00</t>
  </si>
  <si>
    <t>Клапан обратный VU 1 1/4</t>
  </si>
  <si>
    <t>Приобретение товаров и услуг ЧСЦБ-000187 от 09.02.2024 23:59:59</t>
  </si>
  <si>
    <t>Приобретение товаров и услуг ЧСЦБ-000204 от 16.02.2024 12:00:00</t>
  </si>
  <si>
    <t>Клапан обратный VU 1/2</t>
  </si>
  <si>
    <t>БЕЛЩЕТКА ООО</t>
  </si>
  <si>
    <t>Приобретение товаров и услуг ЧСЦБ-000314 от 12.03.2024 12:00:00</t>
  </si>
  <si>
    <t>Щетка цилиндрическая L-1010мм (2 сегмента 352мм + 1 сегмент 306мм)</t>
  </si>
  <si>
    <t>Приобретение товаров и услуг ЧСЦБ-000315 от 12.03.2024 12:00:00</t>
  </si>
  <si>
    <t>ВАЛЬВЕИНОКС ООО</t>
  </si>
  <si>
    <t>Приобретение товаров и услуг ЧСЦБ-000340 от 20.03.2024 23:59:59</t>
  </si>
  <si>
    <t>Электромагнитный клапан DN15</t>
  </si>
  <si>
    <t>ВВ РУС ООО</t>
  </si>
  <si>
    <t>Приобретение товаров и услуг ЧСЦБ-000237 от 20.02.2024 23:59:59</t>
  </si>
  <si>
    <t>Кран шаровый нержавеющий вр/вр ДУ 15 (21,3мм) AISI 316</t>
  </si>
  <si>
    <t>ВДА ООО</t>
  </si>
  <si>
    <t>Приобретение товаров и услуг ЧСЦБ-000367 от 26.03.2024 12:00:00</t>
  </si>
  <si>
    <t>Пистолет для моек высокого давления ST-2300, Желтый</t>
  </si>
  <si>
    <t>ВЕЛЛ-ВЕ ООО</t>
  </si>
  <si>
    <t>Приобретение товаров и услуг ЧСЦБ-000029 от 17.01.2024 12:00:00</t>
  </si>
  <si>
    <t>156183 Well WE-150-215S / УФ-ловушка электроразрядная (нерж.сталь)</t>
  </si>
  <si>
    <t>Приобретение товаров и услуг ЧСЦБ-000046 от 23.01.2024 15:29:45</t>
  </si>
  <si>
    <t>156186 Well WE-400-240 / УФ-ловушка электроразрядная (крашенный металл)</t>
  </si>
  <si>
    <t>Приобретение товаров и услуг ЧСЦБ-000164 от 14.02.2024 12:00:00</t>
  </si>
  <si>
    <t>138019 Well WE-400-2S / УФ-ловушка электроразрядная (нерж.сталь)</t>
  </si>
  <si>
    <t>Приобретение товаров и услуг ЧСЦБ-000165 от 14.02.2024 12:00:00</t>
  </si>
  <si>
    <t>156187 Well WE-400-240S / УФ-ловушка электроразрядная (нерж. сталь)</t>
  </si>
  <si>
    <t>Приобретение товаров и услуг ЧСЦБ-000166 от 14.02.2024 12:00:00</t>
  </si>
  <si>
    <t>156189 Well Клеевая пластина WE-813-SB30/60S</t>
  </si>
  <si>
    <t>156185 Well WE-200-220S / УФ-ловушка электроразрядная (нерж.сталь)</t>
  </si>
  <si>
    <t>ВИАЛ ООО</t>
  </si>
  <si>
    <t>Приобретение товаров и услуг ЧСЦБ-000057 от 26.01.2024 14:47:51</t>
  </si>
  <si>
    <t>Рукав пищевой/паровой напорный синий BIOMASTER BLUE FOOD</t>
  </si>
  <si>
    <t>ВСЕИНСТРУМЕНТЫ.РУ ООО</t>
  </si>
  <si>
    <t>Приобретение товаров и услуг ЧСЦБ-000016 от 10.01.2024 12:00:00</t>
  </si>
  <si>
    <t>15737436 Калибр Универсальный фильтр ВДМ-А 00000066822</t>
  </si>
  <si>
    <t>24343569 ПОЛИТЭК Кран пласт.шаровой полнопроходной 25 PPR (СЕРЫЙ) 9900000025с</t>
  </si>
  <si>
    <t>ГРЭНТ ООО</t>
  </si>
  <si>
    <t>Приобретение товаров и услуг ЧСЦБ-000132 от 13.02.2024 10:47:50</t>
  </si>
  <si>
    <t>Умывальник 1 - Секционный подвесной GRENT - P - 01</t>
  </si>
  <si>
    <t>Приобретение товаров и услуг ЧСЦБ-000133 от 13.02.2024 13:15:18</t>
  </si>
  <si>
    <t>Умывальник 1 - Секционный на стойке GRENT - S - 01 (в комплекте с сифоном и смесителем)</t>
  </si>
  <si>
    <t>Приобретение товаров и услуг ЧСЦБ-000193 от 21.02.2024 12:00:00</t>
  </si>
  <si>
    <t>Сушилка GRENT-20-1 для обуви</t>
  </si>
  <si>
    <t>Приобретение товаров и услуг ЧСЦБ-000369 от 27.03.2024 12:00:00</t>
  </si>
  <si>
    <t>Приобретение товаров и услуг ЧСЦБ-000373 от 28.03.2024 12:00:00</t>
  </si>
  <si>
    <t>ДЕЗКОВ ООО</t>
  </si>
  <si>
    <t>Приобретение товаров и услуг ЧСЦБ-000304 от 18.03.2024 17:19:53</t>
  </si>
  <si>
    <t>Дезинфекционный коврик DezKov - Эконом (50х80)</t>
  </si>
  <si>
    <t>Приобретение товаров и услуг ЧСЦБ-000377 от 28.03.2024 12:00:00</t>
  </si>
  <si>
    <t>Дезинфекционный коврик DezKov - Эконом ( 50х 80)</t>
  </si>
  <si>
    <t>Дойчев Алексей Дмитриевич</t>
  </si>
  <si>
    <t>Приобретение товаров и услуг ЧСЦБ-000353 от 22.03.2024 12:00:00</t>
  </si>
  <si>
    <t>9900107137 - Комплект инжекторных клапанов под трубку 8х12 мм PVDF-T/FPM (5 шт.)</t>
  </si>
  <si>
    <t>ЕВРОСПРЕЙ ООО</t>
  </si>
  <si>
    <t>Приобретение товаров и услуг ЧСЦБ-000208 от 08.02.2024 23:59:59</t>
  </si>
  <si>
    <t>Плоскоструйная форсунка сталь 303 1/4 MC3L-30-40 (11.84 л/мин при 3 бар, угол распыления 40°)</t>
  </si>
  <si>
    <t>Плоскоструйная форсунка сталь 303 1/4 MC3L-30-65 (11.84 л/мин при 3 бар, угол распыления 65°)</t>
  </si>
  <si>
    <t>Плоскоструйная форсунка сталь 303 1/4 MC3L-20-40 (7.90 л/мин при 3 бар, угол распыления 40°)</t>
  </si>
  <si>
    <t>Плоскоструйная форсунка сталь 303 1/4 MC3L-20-50 (7.90 л/мин при 3 бар, угол распыления 50°)</t>
  </si>
  <si>
    <t>Плоскоструйная форсунка сталь 303 1/4 MC3L-20-80 (7.90 л/мин при 3 бар, угол распыления 80°)</t>
  </si>
  <si>
    <t>Приобретение товаров и услуг ЧСЦБ-000177 от 19.02.2024 16:53:07</t>
  </si>
  <si>
    <t>Моющая головка ротационная 3/4" 360 градусов (сталь 316)</t>
  </si>
  <si>
    <t>Приобретение товаров и услуг ЧСЦБ-000283 от 06.03.2024 23:59:59</t>
  </si>
  <si>
    <t>Плоскоструйная форсунка пластик C1L-01-110 (0.39 л/м при 3 бар, угол распыления 110°)</t>
  </si>
  <si>
    <t>Приобретение товаров и услуг ЧСЦБ-000346 от 21.03.2024 23:59:59</t>
  </si>
  <si>
    <t>ИНЖЕНЕРНЫЕ СИСТЕМЫ ООО</t>
  </si>
  <si>
    <t>Приобретение товаров и услуг ЧСЦБ-000041 от 19.01.2024 12:00:00</t>
  </si>
  <si>
    <t>Насос "LEO" модель AMS70/0,55 (380В)</t>
  </si>
  <si>
    <t>КЕРХЕР ООО</t>
  </si>
  <si>
    <t>Приобретение товаров и услуг ЧСЦБ-000011 от 09.01.2024 12:00:00</t>
  </si>
  <si>
    <t>1.286-954.0 Аппарат высокого давления Керхер HD 10/25-4 S</t>
  </si>
  <si>
    <t>Приобретение товаров и услуг ЧСЦБ-000015 от 09.01.2024 12:00:00</t>
  </si>
  <si>
    <t>2.860-273.0 фильтр НЕРА 13 к пылесосам серии DS</t>
  </si>
  <si>
    <t>9.002-164.0 Байпасный клапан</t>
  </si>
  <si>
    <t>2.885-377.0 Набор насосов HDC</t>
  </si>
  <si>
    <t>6.365-393.0 сальник</t>
  </si>
  <si>
    <t>5.064-457.0 крышка серая</t>
  </si>
  <si>
    <t>2.640-729.0 комплект уплотнительных колец</t>
  </si>
  <si>
    <t>2.885-408.0 Распределительный поршень в сборе</t>
  </si>
  <si>
    <t>6.348-384.0 Зубчатый ремень (РФ)</t>
  </si>
  <si>
    <t>1.367-306.0 HD 6/15-4 Аппарат высокого давления (РФ)</t>
  </si>
  <si>
    <t>8.440-450.0 BD 50/50 C Classic Bp Поломоечная машина</t>
  </si>
  <si>
    <t>6.414-559.0 топливный фильтр</t>
  </si>
  <si>
    <t>1.367-308.0 HD 9/20-4*KAP Аппарат высокого давления (РФ)</t>
  </si>
  <si>
    <t>4.622-038.0 трансформатор</t>
  </si>
  <si>
    <t>4.100-824.0 Набор запасных частей пробка в сб. 36мм (РФ)</t>
  </si>
  <si>
    <t>2.642-728.0 Грязевая фреза DB 145</t>
  </si>
  <si>
    <t>1.512-630.0 SC 4 EasyFix *EU Пароочиститель</t>
  </si>
  <si>
    <t>5.581-270.0 седло</t>
  </si>
  <si>
    <t>1.150-930.0 HD 6/15 M *EU Аппарат высокого давления (РФ)</t>
  </si>
  <si>
    <t>6.035-055.0 Колесо привода (РФ)</t>
  </si>
  <si>
    <t>6.882-000.0 Кабель для сервисного модуля А9</t>
  </si>
  <si>
    <t>6.365-340.0 сальник</t>
  </si>
  <si>
    <t>2.863-025.0 Насадка для мойки окон к пароочистителям серии SC</t>
  </si>
  <si>
    <t>2.883-067.0 набор к насосу</t>
  </si>
  <si>
    <t>4.580-349.0 клапан</t>
  </si>
  <si>
    <t>9.002-522.0 поршень</t>
  </si>
  <si>
    <t>2.643-147.0 насадка для пенной чистки FJ 6 (0,6л)</t>
  </si>
  <si>
    <t>6.365-380.3 Комплект прокладок низкого давления</t>
  </si>
  <si>
    <t>4.580-814.0 Клапан-дозатор химии на замену</t>
  </si>
  <si>
    <t>2.884-551.0 Комплект запчастей (РФ)</t>
  </si>
  <si>
    <t>6.904-143.0 комплект фильтров к моющему пылесосу</t>
  </si>
  <si>
    <t>2.863-263.0 Мощное сопло</t>
  </si>
  <si>
    <t>1.077-908.0 HDS 8/18-4M *EU I аппарат высокого давления с подогревом воды</t>
  </si>
  <si>
    <t>9.002-456.0 Головка насоса Alu FC RIC</t>
  </si>
  <si>
    <t>4.553-242.0 Поршень в сборе (РФ)</t>
  </si>
  <si>
    <t>4.553-287.0 поршень</t>
  </si>
  <si>
    <t>5.585-044.0 Поплавок BR/BD 55/60 (РФ)</t>
  </si>
  <si>
    <t>2.885-186.0 набор запасных частей</t>
  </si>
  <si>
    <t>2.885-190.0 КЗЧ включающего вала</t>
  </si>
  <si>
    <t>2.643-909.0 Рукав высокого давления HK12 в комплекте</t>
  </si>
  <si>
    <t>1.174-900.0 HDS 8/18-4 C Аппарат высокого давления (РФ)</t>
  </si>
  <si>
    <t>2.642-889.0 пистолет к минимойке Quick Connect G 180 Q</t>
  </si>
  <si>
    <t>1.512-600.0 SC 2 EasyFix *EU Пароочиститель</t>
  </si>
  <si>
    <t>2.642-725.0 Струйная трубка VP 145</t>
  </si>
  <si>
    <t>9.761-154.0 Вращающаяся ручка выключателя (РФ)</t>
  </si>
  <si>
    <t>4.582-019.0 клапан в сборе</t>
  </si>
  <si>
    <t>5.263-088.0 Натяжная часть (РФ)</t>
  </si>
  <si>
    <t>2.883-069.0 Комплект деталей для насоса HD-M</t>
  </si>
  <si>
    <t>9.605-286.0 K-Parts Средство для чистки полов, 10л</t>
  </si>
  <si>
    <t>1.286-954.0 HD 10/25-4 S Аппарат высокого давления</t>
  </si>
  <si>
    <t>6.415-775.0 форсунка</t>
  </si>
  <si>
    <t>1.513-280.0 SC 4 Deluxe EasyFix Premium Пароочистит. (ПУ)</t>
  </si>
  <si>
    <t>9.754-549.0 Блок аккумуляторов VCS 4 (РФ)</t>
  </si>
  <si>
    <t>4.427-014.0 Воздушный коллектор TR EH 155 для замены (РФ)</t>
  </si>
  <si>
    <t>4.762-392.0 Цилиндрическая щетка в сборе красная BR</t>
  </si>
  <si>
    <t>6.473-376.0 насос б/фильтров грубой очистки</t>
  </si>
  <si>
    <t>2.884-501.3 Комплект запасных частей управ. поршня</t>
  </si>
  <si>
    <t>4.769-035.0 инжектор</t>
  </si>
  <si>
    <t>2.641-959.0 Пистолет упак. д/зам. 16MPa/60АC</t>
  </si>
  <si>
    <t>Приобретение товаров и услуг ЧСЦБ-000116 от 05.02.2024 12:00:00</t>
  </si>
  <si>
    <t>2.885-229.0 авд байпасный клапан</t>
  </si>
  <si>
    <t>4.037-131.0 Всасывающий язычок набор Linatex BR 45/22 (РФ)</t>
  </si>
  <si>
    <t>4.767-195.0 Трехпозиционное сопло (РФ)</t>
  </si>
  <si>
    <t>4.580-594.0 клапан в сборе</t>
  </si>
  <si>
    <t>4.553-274.0 Поршень в сборе на замену (РФ)</t>
  </si>
  <si>
    <t>4.775-463.0 Распылитель</t>
  </si>
  <si>
    <t>2.885-131.0 Контактор (РФ)</t>
  </si>
  <si>
    <t>4.551-012.3 Головка блока цилиндра</t>
  </si>
  <si>
    <t>5.600-060.3 Крыльчатка вентилятора</t>
  </si>
  <si>
    <t>4.481-226.0 Седло клапана в сборе HD7/18</t>
  </si>
  <si>
    <t>2.889-104.0 Предохранитель д/замены (РФ)</t>
  </si>
  <si>
    <t>2.883-902.0 Насосный комплект</t>
  </si>
  <si>
    <t>6.414-805.0 Фильтр HEPA 12 на замену (РФ)</t>
  </si>
  <si>
    <t>4.553-280.3 Колба в сборе</t>
  </si>
  <si>
    <t>4.580-734.0 клапан в сборе</t>
  </si>
  <si>
    <t>9.755-252.0 Фильтр-мешки бумажн. 10 шт.T 8/1 Classic</t>
  </si>
  <si>
    <t>6.631-196.0 Автомат защиты электродвигателя (РФ)</t>
  </si>
  <si>
    <t>2.885-130.0 Головка блока цилиндров HD10/25 S, HD10/2</t>
  </si>
  <si>
    <t>4.775-466.0 Распылитель</t>
  </si>
  <si>
    <t>9.001-980.0 Патрубок подачи воды (РФ)</t>
  </si>
  <si>
    <t>2.883-988.3 КЗЧ для распределительного золотника</t>
  </si>
  <si>
    <t>5.061-018.3 Прямолинейная направляющая (РФ)</t>
  </si>
  <si>
    <t>9.751-027.0 Поршень в сборе</t>
  </si>
  <si>
    <t>2.863-240.0 фильтр</t>
  </si>
  <si>
    <t>6.904-322.0 комплект фильтров 5 шт к пылесосу серии А</t>
  </si>
  <si>
    <t>9.751-030.0 Манометрический выключатель</t>
  </si>
  <si>
    <t>9.001-927.0 поршень в сборе</t>
  </si>
  <si>
    <t>5.583-161.0 клапанный винт</t>
  </si>
  <si>
    <t>4.120-234.0 косая шайба</t>
  </si>
  <si>
    <t>5.581-239.0 седло</t>
  </si>
  <si>
    <t>4.550-700.0 голова насоса</t>
  </si>
  <si>
    <t>6.654-491.0 Аккумулятор Li-Ionen 25,9V / 22Ah</t>
  </si>
  <si>
    <t>6.904-329.0 фильтр-мешки из нетканного материала, 5 шт к пылесосу серии VС и DS</t>
  </si>
  <si>
    <t>2.644-074.0 Насадка T 7 Plus</t>
  </si>
  <si>
    <t>6.907-662.0 Flat-pleated filter packaged PES (Плоский складчатый фильтр упакованный PES)</t>
  </si>
  <si>
    <t>6.365-409.3 Компл. прокладок высокого давления д/зам</t>
  </si>
  <si>
    <t>4.063-884.0 регулятор химии</t>
  </si>
  <si>
    <t>2.633-107.0 зарядное устройство WV</t>
  </si>
  <si>
    <t>4.037-144.0 Набор резиновых губок (РФ)</t>
  </si>
  <si>
    <t>4.120-240.0 косая шайба</t>
  </si>
  <si>
    <t>2.885-226.3 Набор з/ч д/распределит.поршня</t>
  </si>
  <si>
    <t>4.553-282.3 Поршень в сборе</t>
  </si>
  <si>
    <t>4.118-005.0 Пистолет EASY!Force Advanced</t>
  </si>
  <si>
    <t>6.413-586.0 Шаровой кран</t>
  </si>
  <si>
    <t>5.070-604.0 бак</t>
  </si>
  <si>
    <t>5.060-936.3 Прямолинейная направляющая D 20</t>
  </si>
  <si>
    <t>2.884-512.0 клапан (1x3)</t>
  </si>
  <si>
    <t>6.414-963.0 фильтр НЕРА-13 к пылесосу серии DS</t>
  </si>
  <si>
    <t>9.001-749.0 Выпускное отверстие высок.давления</t>
  </si>
  <si>
    <t>6.904-367.0 Плоский фильтр только для замены (РФ)</t>
  </si>
  <si>
    <t>6.414-631.0 фильтр для защиты электродвигателя к пылесосу серии DS</t>
  </si>
  <si>
    <t>2.863-233.0 насадка для ухода за текстилем к пароочистителям серии SС</t>
  </si>
  <si>
    <t>5.064-107.0 Крышка (РФ)</t>
  </si>
  <si>
    <t>4.553-318.0 Поршень в сборе (РФ)</t>
  </si>
  <si>
    <t>4.553-314.0 Поршень в сборе только для замены</t>
  </si>
  <si>
    <t>Приобретение товаров и услуг ЧСЦБ-000112 от 06.02.2024 12:00:00</t>
  </si>
  <si>
    <t>6.906-041.0 Цилиндрическая щетка (РФ)</t>
  </si>
  <si>
    <t>5.550-255.0 Головка блока цилиндров</t>
  </si>
  <si>
    <t>6.630-038.0 поршень в сборе</t>
  </si>
  <si>
    <t>Приобретение товаров и услуг ЧСЦБ-000113 от 06.02.2024 12:00:00</t>
  </si>
  <si>
    <t>6.362-468.0 Кольцо круглого сечения в сборе / 1ST.-R (РФ)</t>
  </si>
  <si>
    <t>Приобретение товаров и услуг ЧСЦБ-000114 от 06.02.2024 12:00:00</t>
  </si>
  <si>
    <t>1.513-400.0 SC 2 Deluxe *EU Пароочиститель</t>
  </si>
  <si>
    <t>1.286-955.0 HD 10/25-4SXA PlusАппарат высок.давления</t>
  </si>
  <si>
    <t>1.512-640.0 SC 4 EasyFix Plus*EU Пароочиститель</t>
  </si>
  <si>
    <t>1.513-491.0 SC 5 Deluxe Signature Line *EU Пароочиститель</t>
  </si>
  <si>
    <t>1.324-550.0 K 5 Power Control *EU Минимойка высокого давления (РФ)</t>
  </si>
  <si>
    <t>1.630-750.0 K 5 Compact Relaunch Минимойка высокого давления (РФ)</t>
  </si>
  <si>
    <t>1.317-170.0 K 7 Premium Power *EU</t>
  </si>
  <si>
    <t>1.286-950.0 HD 10/21-4 S Аппарат высокого давления (РФ)</t>
  </si>
  <si>
    <t>1.127-010.0 BD 70/75 W Classic Bp Поломоечная машина</t>
  </si>
  <si>
    <t>1.092-104.0 SG 4/4 *EU профессиональный пароочиститель</t>
  </si>
  <si>
    <t>1.071-900.0 HDS 10/20-4 M Аппарат высокого давления</t>
  </si>
  <si>
    <t>1.447-050.0 K 7 Compact Relaunch Аппарат высокого давления (РФ)</t>
  </si>
  <si>
    <t>Приобретение товаров и услуг ЧСЦБ-000124 от 09.02.2024 12:00:00</t>
  </si>
  <si>
    <t>4.775-529.0 пистолет к аппарату высокого давления</t>
  </si>
  <si>
    <t>4.427-012.0 Узловая деталь комплектный отвод высоког</t>
  </si>
  <si>
    <t>Приобретение товаров и услуг ЧСЦБ-000125 от 09.02.2024 12:00:00</t>
  </si>
  <si>
    <t>1.520-940.0 HD 5/17 С *EU Аппарат высокого давления без подогрева воды (РФ)</t>
  </si>
  <si>
    <t>4.427-039.0 Запорный винт патрубка (РФ)</t>
  </si>
  <si>
    <t>6.473-554.0 Змеевик Brennstoffpumpe</t>
  </si>
  <si>
    <t>4.686-029.0 термостат</t>
  </si>
  <si>
    <t>4.580-611.0 клапан</t>
  </si>
  <si>
    <t>6.391-820.0 Шланг</t>
  </si>
  <si>
    <t>Приобретение товаров и услуг ЧСЦБ-000205 от 20.02.2024 12:00:00</t>
  </si>
  <si>
    <t>2.642-724.0 Струйная трубка VP 120 Vario Power Jet</t>
  </si>
  <si>
    <t>2.641-721.0 запасной рукав к минимойкам высокого давления К 6-7</t>
  </si>
  <si>
    <t>2.643-239.0 Струйная трубка Multi Power MP 145 (для аппаратов К3-К5)</t>
  </si>
  <si>
    <t>1.520-900.0 HD 5/12 C Аппарат высокого давления</t>
  </si>
  <si>
    <t>5.332-258.0 пружина</t>
  </si>
  <si>
    <t>4.100-834.0 ремкомплект</t>
  </si>
  <si>
    <t>5.332-391.0 пружина</t>
  </si>
  <si>
    <t>2.643-254.0 Струйная трубка 360 градусов VP 160 S (K2K7)</t>
  </si>
  <si>
    <t>Приобретение товаров и услуг ЧСЦБ-000221 от 22.02.2024 12:00:00</t>
  </si>
  <si>
    <t>2.885-238.0 регулятор давления</t>
  </si>
  <si>
    <t>2.885-433.0 набор сальников ND PTFE (3x) (РФ)</t>
  </si>
  <si>
    <t>2.645-019.0 дождеватель круговой RS 130/3</t>
  </si>
  <si>
    <t>2.863-312.0 Фильтр в сборе VC 4s</t>
  </si>
  <si>
    <t>6.964-026.0 уплотнительное кольцо</t>
  </si>
  <si>
    <t>9.763-053.0 ролик</t>
  </si>
  <si>
    <t>6.683-240.0 Кабель шестиполюсный Bus  400mm Mini Fit</t>
  </si>
  <si>
    <t>2.645-133.0 дождеватель осциллирующий OS 3/220</t>
  </si>
  <si>
    <t>9.751-104.0 Крючок выключателя</t>
  </si>
  <si>
    <t>2.645-181.0 Садовый душ</t>
  </si>
  <si>
    <t>2.645-026.0 дождеватель многофункциональный МS 100 (6-поз.) (РФ)</t>
  </si>
  <si>
    <t>6.904-333.0 Бумажные фильтрмешки Kaercher,10 шт. (РФ)</t>
  </si>
  <si>
    <t>4.112-000.0 Струйная трубка TR 1050 мм</t>
  </si>
  <si>
    <t>6.415-530.0 форсунка топливная (РФ)</t>
  </si>
  <si>
    <t>9.751-004.0 Клапан</t>
  </si>
  <si>
    <t>2.645-134.0 дождеватель осциллирующий OS 5.320 S</t>
  </si>
  <si>
    <t>9.763-041.0 Подъемный рычаг всасывающей балки</t>
  </si>
  <si>
    <t>4.550-813.0 голова блока</t>
  </si>
  <si>
    <t>2.645-271.0 металлический многофункциональный пистолет распылитель Premium</t>
  </si>
  <si>
    <t>2.645-158.0 распылитель с удлиняющейся трубкой</t>
  </si>
  <si>
    <t>9.751-081.0 головка блока цилиндров в сборе</t>
  </si>
  <si>
    <t>4.100-830.0 Набор зап. частей клапана</t>
  </si>
  <si>
    <t>9.751-127.0 Клапан в сборе</t>
  </si>
  <si>
    <t>2.645-269.0 Многофункциональный пистолет «Plus» (РФ)</t>
  </si>
  <si>
    <t>4.763-250.0 грязевая фреза 055/06 (РФ)</t>
  </si>
  <si>
    <t>2.645-157.0 Распылитель с удлиняющей трубкой (РФ)</t>
  </si>
  <si>
    <t>2.645-266.0 Многофункциональный пистолет-распылитель (РФ)</t>
  </si>
  <si>
    <t>2.645-265.0 Распылительный пистолет (РФ)</t>
  </si>
  <si>
    <t>9.001-745.0 патрубок</t>
  </si>
  <si>
    <t>9.001-110.0 пружина клапана (РФ)</t>
  </si>
  <si>
    <t>5.802-288.0 кронштейн (РФ)</t>
  </si>
  <si>
    <t>2.885-234.0 Набор уплотнителей(3шт.) (РФ)</t>
  </si>
  <si>
    <t>4.730-161.0 фильтр тонкой очистки</t>
  </si>
  <si>
    <t>2.997-201.0 Входной фильтр для погружных насосов (РФ)</t>
  </si>
  <si>
    <t>5.037-052.0 Защитный профиль</t>
  </si>
  <si>
    <t>2.862-008.0 Телескопическая всасывающая трубка (РФ)</t>
  </si>
  <si>
    <t>2.883-914.0 ремкомплект</t>
  </si>
  <si>
    <t>2.645-023.0 импульсный секторно-круговой дождеватель PS 300 (РФ)</t>
  </si>
  <si>
    <t>9.755-251.0 Фильтр круглый набор (5x) (РФ)</t>
  </si>
  <si>
    <t>2.884-916.0 клапан (1х3)</t>
  </si>
  <si>
    <t>2.863-267.0 Набор насадок для пола EasyFix</t>
  </si>
  <si>
    <t>6.490-011.0 набор угольных щеток (РФ)</t>
  </si>
  <si>
    <t>2.645-135.0 дождеватель осциллирующий OS 5.320 SV (РФ)</t>
  </si>
  <si>
    <t>Приобретение товаров и услуг ЧСЦБ-000214 от 24.02.2024 12:00:00</t>
  </si>
  <si>
    <t>1.092-301.0 SG 4/2 Classic Пароочиститель проф</t>
  </si>
  <si>
    <t>Приобретение товаров и услуг ЧСЦБ-000215 от 24.02.2024 12:00:00</t>
  </si>
  <si>
    <t>1.520-930.0 HD 5/15 C Аппарат высокого давления</t>
  </si>
  <si>
    <t>8.440-449.0 BD 75/120 R Classic Bp *KAP поломойно-всасывающая машина с сиденьем оператора</t>
  </si>
  <si>
    <t>1.645-500.0 SP 1 Dirt *EU погружной насос для грязной воды (РФ)</t>
  </si>
  <si>
    <t>1.030-904.0 HDS-E 8/16-4 M 24KW Аппарат высок. давл.</t>
  </si>
  <si>
    <t>1.148-211.0 NT 30/1 Tact Te L *EU промышл. пылесос влажной и сухой уборки (РФ)</t>
  </si>
  <si>
    <t>Приобретение товаров и услуг ЧСЦБ-000213 от 26.02.2024 16:10:42</t>
  </si>
  <si>
    <t>8.440-456.0 BD 50/55 W Classic Bp Поломоечная машина</t>
  </si>
  <si>
    <t>Приобретение товаров и услуг ЧСЦБ-000273 от 04.03.2024 12:00:00</t>
  </si>
  <si>
    <t>4.905-000.0 Дисковая щетка средний красный 406 mm</t>
  </si>
  <si>
    <t>1.127-011.0 BD 80/100 W Classic Поломойная машина</t>
  </si>
  <si>
    <t>Приобретение товаров и услуг ЧСЦБ-000305 от 16.03.2024 12:00:00</t>
  </si>
  <si>
    <t>1.601-888.0 K 3 *EU Аппарат высокого давления (РФ)</t>
  </si>
  <si>
    <t>1.324-573.0 K 5 Premium Power Control Минимойка высокого давления (РФ)</t>
  </si>
  <si>
    <t>1.187-012.0 HD 8/23 G Classic Аппарат высокого давления</t>
  </si>
  <si>
    <t>8.440-452.0 BD 43/25 C Bp Classic Поломоечная машина</t>
  </si>
  <si>
    <t>1.513-460.0 SC 4 Deluxe *EU Пароочиститель (РФ)</t>
  </si>
  <si>
    <t>1.645-535.0 SP 3 Dirt Hose Set *RU Насос</t>
  </si>
  <si>
    <t>1.151-930.0 HD 7/17 M *EU Аппарат высокого давления</t>
  </si>
  <si>
    <t>1.317-150.0 K 7 Power Аппарат высокого давления</t>
  </si>
  <si>
    <t>1.187-011.0 HD 7/20 G Classic Аппарат высокого давления</t>
  </si>
  <si>
    <t>1.645-534.0 SP 1 Dirt Connector Set *RU Насос</t>
  </si>
  <si>
    <t>1.071-939.0 HDS 10/21-4 M *EU Аппарат высокого давления</t>
  </si>
  <si>
    <t>1.676-100.0 K 3 Power Control Аппарат высокого давления (РФ)</t>
  </si>
  <si>
    <t>8.440-451.0 BD 50/60 C Ep Classic Поломоечная машина с V-Образной балкой 900 мм (РФ)</t>
  </si>
  <si>
    <t>Приобретение товаров и услуг ЧСЦБ-000308 от 16.03.2024 12:00:00</t>
  </si>
  <si>
    <t>4.118-008.0 Поворотный регулятор TR 416L (РФ)</t>
  </si>
  <si>
    <t>2.645-267.0 Регулируемый распылитель (РФ)</t>
  </si>
  <si>
    <t>2.645-024.0 Круговой разбрызгиватель на колышке CS 9</t>
  </si>
  <si>
    <t>9.751-076.0 крышка в сборе</t>
  </si>
  <si>
    <t>2.863-012.0 Рукоятка всасывающ.шланга (РФ)</t>
  </si>
  <si>
    <t>4.036-088.0 Двигатель 230V AR</t>
  </si>
  <si>
    <t>6.610-027.0 Колесо вентилятора для замены</t>
  </si>
  <si>
    <t>4.553-198.0 Поршень в сборе (РФ)</t>
  </si>
  <si>
    <t>5.060-642.0 Направляющая поршня</t>
  </si>
  <si>
    <t>2.113-023.0 Мощное сопло TR 25050 (РФ)</t>
  </si>
  <si>
    <t>2.645-270.0 металлический пистолет распылитель PREMIUM</t>
  </si>
  <si>
    <t>2.885-397.0 КЗЧ: золотник с ниппелем (РФ)</t>
  </si>
  <si>
    <t>6.391-848.0 Шланг высокого давления DN8/64Mpa/10м (РФ)</t>
  </si>
  <si>
    <t>2.644-190.0 Телескопический удлинитель (РФ)</t>
  </si>
  <si>
    <t>2.884-274.0 КЗЧ ремень (РФ)</t>
  </si>
  <si>
    <t>4.553-197.0 Поршень в сборе (РФ)</t>
  </si>
  <si>
    <t>6.643-047.0 Штепсель красный комплектный 75A 12mm² (РФ)</t>
  </si>
  <si>
    <t>4.553-172.0 Поршень в сборе (РФ)</t>
  </si>
  <si>
    <t>2.645-020.0 Вращающийся разбрызгиватель RS 120/2 (РФ)</t>
  </si>
  <si>
    <t>5.070-658.0 Масляный бачок (РФ)</t>
  </si>
  <si>
    <t>4.553-283.3 Поршень в сборе на замену</t>
  </si>
  <si>
    <t>5.550-325.0 головка блока цилиндров</t>
  </si>
  <si>
    <t>2.643-910.0 Рукав высокого давлен.HK7.5 в комплекте</t>
  </si>
  <si>
    <t>2.645-137.0 Распылитель на штанге Premium</t>
  </si>
  <si>
    <t>4.550-942.3 Цилиндрическая головка в сб. K7 (РФ)</t>
  </si>
  <si>
    <t>4.114-036.0 Роторная форсунка TR 055/060</t>
  </si>
  <si>
    <t>2.645-180.0 Тележка для шланга HT 3.400 (РФ)</t>
  </si>
  <si>
    <t>6.472-411.0 Электромагнитный клапан</t>
  </si>
  <si>
    <t>6.646-266.0 Сцепляющая муфта</t>
  </si>
  <si>
    <t>2.641-721.0 Шланг высокого давления 9/160 (РФ)</t>
  </si>
  <si>
    <t>9.753-044.0 Зажим щеток в сборе B 25</t>
  </si>
  <si>
    <t>4.035-426.0 шаровый кран B40 В60 (РФ)</t>
  </si>
  <si>
    <t>5.033-002.0 фиксатор щетки SWS</t>
  </si>
  <si>
    <t>Приобретение товаров и услуг ЧСЦБ-000352 от 22.03.2024 12:00:00</t>
  </si>
  <si>
    <t>2.113-023.0 Мощное сопло TR 25050</t>
  </si>
  <si>
    <t>2.113-027.0 Мощное сопло TR 25068</t>
  </si>
  <si>
    <t>6.366-009.0 шнур - уплотнитель</t>
  </si>
  <si>
    <t>КИП-СЕРВИС  ООО</t>
  </si>
  <si>
    <t>Приобретение товаров и услуг ЧСЦБ-000064 от 29.01.2024 13:33:33</t>
  </si>
  <si>
    <t>1901R-KHND008-150-24DC — Клапан электромагнитный</t>
  </si>
  <si>
    <t>Приобретение товаров и услуг ЧСЦБ-000065 от 29.01.2024 13:37:38</t>
  </si>
  <si>
    <t>КОМЕТА ООО</t>
  </si>
  <si>
    <t>Приобретение товаров и услуг ЧСЦБ-000014 от 09.01.2024 12:00:00</t>
  </si>
  <si>
    <t>12.AM3000.HH Шланг пищевой AQUAFOAM, 30 м., DN12, 80 бар, 150 °C, с фитингами из нерж. (Ш-Ш)+ защита</t>
  </si>
  <si>
    <t>Приобретение товаров и услуг ЧСЦБ-000028 от 16.01.2024 12:00:00</t>
  </si>
  <si>
    <t>12.AM3000.GH Шланг пищевой AQUAFOAM, 30 м., DN12, 80 бар, 150 °C, с фитингами из нерж. (Г-Ш)+ защита</t>
  </si>
  <si>
    <t>Приобретение товаров и услуг ЧСЦБ-000030 от 18.01.2024 14:28:54</t>
  </si>
  <si>
    <t>12.AF150.GG Шланг пищевой AQUAFOOD, 1,5 м., DN12, 50 бар, 70 °C, с фитингами из нерж. (Г-Г)</t>
  </si>
  <si>
    <t>12.AF2000.GH Шланг пищевой AQUAFOOD, 20 м., DN12, 50 бар, 70 °C, с фитингами из нерж. (Г-Ш)</t>
  </si>
  <si>
    <t>Приобретение товаров и услуг ЧСЦБ-000083 от 31.01.2024 12:00:00</t>
  </si>
  <si>
    <t>163215 Шланг напорный из ПВХ армированный серия 032Б Ф 6х9 мм (бухта 100 метров), 12 бар, 65 гр. С</t>
  </si>
  <si>
    <t>28.1000.30Пластиковый фильтр для моющих средств с обратным клапаном пластик+ нерж.сталь,елочка 6,8мм</t>
  </si>
  <si>
    <t>22611-08-08SS HR Фитинг BSP (Г) 1/2 d=12 нерж. сталь.</t>
  </si>
  <si>
    <t>12611-08-08SS Фитинг BSP (Ш) 1/2 d=12 нерж. сталь.</t>
  </si>
  <si>
    <t>00210-08SS Mуфта 1SN/2SN 12 со срезанными зубьями</t>
  </si>
  <si>
    <t>Приобретение товаров и услуг ЧСЦБ-000096 от 05.02.2024 12:00:00</t>
  </si>
  <si>
    <t>Рукав высокого давления Comet 2SN6; 22х1,5 г- 22х1,5г; 50м с защитой от изгиба</t>
  </si>
  <si>
    <t>Приобретение товаров и услуг ЧСЦБ-000090 от 05.02.2024 17:04:04</t>
  </si>
  <si>
    <t>Шланг высокого давления DIN 2SN d=6 (HB)</t>
  </si>
  <si>
    <t>Приобретение товаров и услуг ЧСЦБ-000118 от 06.02.2024 12:00:00</t>
  </si>
  <si>
    <t>26.2050.00 Байонет ARS 350 высокого давления 3/8"г (нерж).</t>
  </si>
  <si>
    <t>Приобретение товаров и услуг ЧСЦБ-000210 от 22.02.2024 12:00:00</t>
  </si>
  <si>
    <t>30.2860.00К Курок распылительный RL 82 с поворотным фитингом, нерж. сталь, 125 бар; вход 1/2"г</t>
  </si>
  <si>
    <t>Приобретение товаров и услуг ЧСЦБ-000202 от 22.02.2024 14:54:45</t>
  </si>
  <si>
    <t>10.NEW.NEW (1SN6) Рукав высокого давления 1SN6; NEW- NEW; 10 м</t>
  </si>
  <si>
    <t>Приобретение товаров и услуг ЧСЦБ-000203 от 22.02.2024 14:56:54</t>
  </si>
  <si>
    <t>Приобретение товаров и услуг ЧСЦБ-000223 от 26.02.2024 12:00:00</t>
  </si>
  <si>
    <t>26.2520.40 Ниппель ARS 178 высокого давления 1/2"ш, 250 бар (нерж).</t>
  </si>
  <si>
    <t>Приобретение товаров и услуг ЧСЦБ-000229 от 26.02.2024 12:00:00</t>
  </si>
  <si>
    <t>JF 20011-22-05  Фитинг (Г) 22х1,5 универсальный d=08 (гайка сталь) длинная</t>
  </si>
  <si>
    <t>JF 20011-22-04 PLAST Фитинг (Г) 22х1,5 универсальный d=06 (гайка пластик)</t>
  </si>
  <si>
    <t>Приобретение товаров и услуг ЧСЦБ-000282 от 04.03.2024 12:00:00</t>
  </si>
  <si>
    <t>57549 Переходник штуцер 1/2"; гайка 1/4" (нерж), 500 бар</t>
  </si>
  <si>
    <t>0124723250 15030 Форсунка 1/4" ш</t>
  </si>
  <si>
    <t>40.7700.00 Удлинитель с термозащитой и форсункодержателем 700 мм; вход 1/4"ш; выход 1/4"г изогнутый.</t>
  </si>
  <si>
    <t>Приобретение товаров и услуг ЧСЦБ-000271 от 07.03.2024 12:00:00</t>
  </si>
  <si>
    <t>NOOSP000100 Рукав синий для пеногенератора 10м с коннекторами</t>
  </si>
  <si>
    <t>Приобретение товаров и услуг ЧСЦБ-000272 от 07.03.2024 23:59:59</t>
  </si>
  <si>
    <t>Приобретение товаров и услуг ЧСЦБ-000293 от 12.03.2024 12:00:00</t>
  </si>
  <si>
    <t>30.2860.00 Курок расп RL 82 с поворотным фитингом, нерж. сталь, 125 бар; вход 1/2"г, выход ARS178</t>
  </si>
  <si>
    <t>Приобретение товаров и услуг ЧСЦБ-000294 от 14.03.2024 12:00:00</t>
  </si>
  <si>
    <t>29.1030.00 Кран для пены, BPS вход 1/2 г. выход 1/2 г. 24 бар</t>
  </si>
  <si>
    <t>30.6400.00 Размывочный пистолет RB 65. 60 л/мин; 24 бар; 90град; вход 1/2"г.</t>
  </si>
  <si>
    <t>Приобретение товаров и услуг ЧСЦБ-000338 от 21.03.2024 12:00:00</t>
  </si>
  <si>
    <t>25.4852.24 Ремкомплект для A80R 7x1 K2</t>
  </si>
  <si>
    <t>25.4828.24 Ремкомплект сальников для насадки A80R 10x1p K1</t>
  </si>
  <si>
    <t>Приобретение товаров и услуг ЧСЦБ-000331 от 22.03.2024 14:02:45</t>
  </si>
  <si>
    <t>0202000210 Удлинитель с термозащитой и форсункодержателем MV20/A</t>
  </si>
  <si>
    <t>0124723450 25055 Форсунка 1/4" ш</t>
  </si>
  <si>
    <t>Приобретение товаров и услуг ЧСЦБ-000348 от 25.03.2024 12:00:00</t>
  </si>
  <si>
    <t>26.2555.40 Байонет ARS 178 высокого давления 1/2"ш, 250 бар (нерж) в синем пластике.</t>
  </si>
  <si>
    <t>Приобретение товаров и услуг ЧСЦБ-000355 от 26.03.2024 12:00:00</t>
  </si>
  <si>
    <t>20011-22-05 Т Фитинг (Г) 22х1,5 универсальный d=08 (гайка пластик)</t>
  </si>
  <si>
    <t>03310-05 HR Mуфта 1SN/2SN 08</t>
  </si>
  <si>
    <t>Приобретение товаров и услуг ЧСЦБ-000381 от 27.03.2024 0:00:00</t>
  </si>
  <si>
    <t>Mуфта 1SN/2SN 12 нерж. сталь. со срезанными зубьями</t>
  </si>
  <si>
    <t>Кузнецова Наталья Николаевна ИП</t>
  </si>
  <si>
    <t>Приобретение товаров и услуг ЧСЦБ-000292 от 13.03.2024 12:00:00</t>
  </si>
  <si>
    <t>Расходомер РТ-720 2″ папа/папа, нерж</t>
  </si>
  <si>
    <t>Без НДС</t>
  </si>
  <si>
    <t>МАП ЛТД АО</t>
  </si>
  <si>
    <t>Приобретение товаров и услуг ЧСЦБ-000072 от 26.01.2024 12:00:00</t>
  </si>
  <si>
    <t>Y10 LED T8L-1W/G13-UV 26/330 ЛАМПА ИНСЕКТИЦИДНАЯ</t>
  </si>
  <si>
    <t>МЕТАЛЛИК ГРУПП ООО</t>
  </si>
  <si>
    <t>Приобретение товаров и услуг ЧСЦБ-000078 от 22.01.2024 23:59:59</t>
  </si>
  <si>
    <t>Тройник резьбовой AISI 304 DN 50 2" 60,3 мм</t>
  </si>
  <si>
    <t>Приобретение товаров и услуг ЧСЦБ-000115 от 07.02.2024 23:59:59</t>
  </si>
  <si>
    <t>Отвод резьбовой нр/вр AISI304 DN8 1/4" 13,7мм</t>
  </si>
  <si>
    <t>НОВЭЛХИМ ООО</t>
  </si>
  <si>
    <t>Приобретение товаров и услуг ЧСЦБ-000019 от 12.01.2024 13:18:24</t>
  </si>
  <si>
    <t>104 NG Acid CIP Кислотное беспенное средство на основе азотной кислоты, 200л</t>
  </si>
  <si>
    <t>Приобретение товаров и услуг ЧСЦБ-000017 от 15.01.2024 10:00:00</t>
  </si>
  <si>
    <t>101 NG Acid Foam Кислотное высокопенное средство на основе азотной кислоты, 20л</t>
  </si>
  <si>
    <t>104 NG Acid CIP Кислотное беспенное средство на основе азотной кислоты, 20л</t>
  </si>
  <si>
    <t>124 NG Caus Щелочное беспенное средство с дезинфицирующим эффектом (хлор) на калиевой щелочи, 20л</t>
  </si>
  <si>
    <t>203 NG Acid Gel Кислотный гель для твердых поверхностей, 5л</t>
  </si>
  <si>
    <t>213 NG FatClean Щелочное средство для мойки грилей, 10л</t>
  </si>
  <si>
    <t>220 NG Glass Нейтральное средство для мойки стекол, витрин, 5л</t>
  </si>
  <si>
    <t>222 NG Foam Eso Нейтральное средство для мойки посуды, 10л</t>
  </si>
  <si>
    <t>503 NG Acid Gel Кислотный гель для твердых поверхностей, 5л</t>
  </si>
  <si>
    <t>522 NG Foam Eso Нейтральное средство для мойки посуды, 5л</t>
  </si>
  <si>
    <t>Приобретение товаров и услуг ЧСЦБ-000018 от 15.01.2024 10:00:00</t>
  </si>
  <si>
    <t>122 NG CIP Active Щелочное беспенное средство с дезинфицирующим эффектом (хлор), 20л</t>
  </si>
  <si>
    <t>623 NOVELGUARD DEZ Дезинфицирующие средство, кожный антисептик (изопропанол 70%), 5л</t>
  </si>
  <si>
    <t>119 NG Caus Foam AB Щелочное пенное средство с дезинфицирующим эффектом c высоким сод-ем ЧАС, 20л</t>
  </si>
  <si>
    <t>146 NG Soap Plus Нейтральное косметическое мыло с дезинфицирующим эффектом 5л.</t>
  </si>
  <si>
    <t>118 NG Active Foam Щелочное пенное средство с дезинфицирующим эффектом (хлор), 20л</t>
  </si>
  <si>
    <t>140 NG Foam Нейтральное пенное универсальное моющее средство, 20л</t>
  </si>
  <si>
    <t>623 NOVELGUARD DEZ Дезинфицирующие средство, кожный антисептик (изопропанол 70%) с триггером, 500мл</t>
  </si>
  <si>
    <t>Приобретение товаров и услуг ЧСЦБ-000025 от 16.01.2024 11:22:49</t>
  </si>
  <si>
    <t>623 NG DEZ Дезинфицирующие средство, кожный антисептик (изопропанол 70%), 5л</t>
  </si>
  <si>
    <t>Приобретение товаров и услуг ЧСЦБ-000031 от 18.01.2024 15:35:23</t>
  </si>
  <si>
    <t>822 NG Base CIP Cl Щелочное беспенное средство с антибактериальным эффектом (хлор), 24кг</t>
  </si>
  <si>
    <t>Приобретение товаров и услуг ЧСЦБ-000034 от 19.01.2024 13:54:45</t>
  </si>
  <si>
    <t>503 NG Acid Gel Кислотный гель для твердых поверхностей, 1л</t>
  </si>
  <si>
    <t>Приобретение товаров и услуг ЧСЦБ-000058 от 26.01.2024 16:05:26</t>
  </si>
  <si>
    <t>142 NG Super Нейтральное дезинфицирующее средство (ЧАС/Глутаровый альдегид), 5л</t>
  </si>
  <si>
    <t>129 NG Caus Chas Щелочное пенное средство с дезинфицирующим эффектом (ЧАС), 10л</t>
  </si>
  <si>
    <t>Приобретение товаров и услуг ЧСЦБ-000066 от 30.01.2024 11:00:00</t>
  </si>
  <si>
    <t>106 NG NAC 15 Дезинфицирующее средство на основе НУК (15%), 10кг</t>
  </si>
  <si>
    <t>111 NG Termo Щелочное высокопенное средство для термокамер, 20л</t>
  </si>
  <si>
    <t>Приобретение товаров и услуг ЧСЦБ-000067 от 30.01.2024 11:00:00</t>
  </si>
  <si>
    <t>Приобретение товаров и услуг ЧСЦБ-000068 от 30.01.2024 11:00:00</t>
  </si>
  <si>
    <t>Приобретение товаров и услуг ЧСЦБ-000087 от 02.02.2024 12:00:00</t>
  </si>
  <si>
    <t>Приобретение товаров и услуг ЧСЦБ-000101 от 06.02.2024 15:31:06</t>
  </si>
  <si>
    <t>105 NG Acid Eso Кислотное беспенное средство на основе ортофосфорной кислоты, 20л</t>
  </si>
  <si>
    <t>109 NG Acid S Кислотное пенное средство на основе соляной кислоты, 20л</t>
  </si>
  <si>
    <t>Приобретение товаров и услуг ЧСЦБ-000106 от 07.02.2024 11:12:44</t>
  </si>
  <si>
    <t>111 NG Termo Щелочное высокопенное средство для термокамер, 5л</t>
  </si>
  <si>
    <t>128 NG Active Gel Щелочное высокопенное средство с дезинфицирующим эффектом (хлор),5 л</t>
  </si>
  <si>
    <t>Приобретение товаров и услуг ЧСЦБ-000097 от 07.02.2024 12:00:00</t>
  </si>
  <si>
    <t>Приобретение товаров и услуг ЧСЦБ-000098 от 07.02.2024 12:00:00</t>
  </si>
  <si>
    <t>Приобретение товаров и услуг ЧСЦБ-000100 от 07.02.2024 12:00:00</t>
  </si>
  <si>
    <t>102 NG Acid Foam Eso Кислотное высокопенное средство на основе смеси минеральных кислот, 1л</t>
  </si>
  <si>
    <t>118 NG Active Foam Щелочное пенное средство с дезинфицирующим эффектом (хлор), 5л</t>
  </si>
  <si>
    <t>143 NG Foam AB Нейтральное пенное средство с дезинфицирующим эффектом (ЧАС), 1л</t>
  </si>
  <si>
    <t>213 NG FatClean Щелочное средство для мойки грилей, 1л</t>
  </si>
  <si>
    <t>222 NG Foam Eso Нейтральное средство для мойки посуды, 1л</t>
  </si>
  <si>
    <t>Приобретение товаров и услуг ЧСЦБ-000102 от 07.02.2024 12:00:00</t>
  </si>
  <si>
    <t>Приобретение товаров и услуг ЧСЦБ-000103 от 07.02.2024 12:00:00</t>
  </si>
  <si>
    <t>120 NG Caus CIP Щелочное беспенное средство для CIP-мойки, 5л</t>
  </si>
  <si>
    <t>822 NG Base CIP Cl Щелочное беспенное средство с антибактериальным эффектом (хлор), 6кг</t>
  </si>
  <si>
    <t>Приобретение товаров и услуг ЧСЦБ-000157 от 15.02.2024 12:00:00</t>
  </si>
  <si>
    <t>820 NG Base CIP Caus Щелочное беспенное средство для CIP-мойки, 7кг</t>
  </si>
  <si>
    <t>Приобретение товаров и услуг ЧСЦБ-000148 от 15.02.2024 16:23:18</t>
  </si>
  <si>
    <t>128 NG Active Gel Щелочное высокопенное средство с дезинфицирующим эффектом (хлор), 20л</t>
  </si>
  <si>
    <t>Приобретение товаров и услуг ЧСЦБ-000159 от 16.02.2024 14:58:44</t>
  </si>
  <si>
    <t>Приобретение товаров и услуг ЧСЦБ-000160 от 19.02.2024 12:00:00</t>
  </si>
  <si>
    <t>Приобретение товаров и услуг ЧСЦБ-000161 от 19.02.2024 12:00:00</t>
  </si>
  <si>
    <t>Приобретение товаров и услуг ЧСЦБ-000162 от 19.02.2024 12:00:00</t>
  </si>
  <si>
    <t>Приобретение товаров и услуг ЧСЦБ-000174 от 19.02.2024 14:50:23</t>
  </si>
  <si>
    <t>111 NG Termo Щелочное высокопенное средство для термокамер, 10л</t>
  </si>
  <si>
    <t>Приобретение товаров и услуг ЧСЦБ-000196 от 22.02.2024 11:11:20</t>
  </si>
  <si>
    <t>Приобретение товаров и услуг ЧСЦБ-000197 от 26.02.2024 0:00:00</t>
  </si>
  <si>
    <t>Приобретение товаров и услуг ЧСЦБ-000198 от 26.02.2024 12:00:00</t>
  </si>
  <si>
    <t>Приобретение товаров и услуг ЧСЦБ-000199 от 26.02.2024 12:00:00</t>
  </si>
  <si>
    <t>Приобретение товаров и услуг ЧСЦБ-000201 от 26.02.2024 12:00:00</t>
  </si>
  <si>
    <t>Приобретение товаров и услуг ЧСЦБ-000209 от 26.02.2024 13:52:44</t>
  </si>
  <si>
    <t>113 NG Turbo Eso Высококонцентрированное высокощелочное высокопенное средство для термокамер, 10л</t>
  </si>
  <si>
    <t>122 NG CIP Active Щелочное беспенное средство с дезинфицирующим эффектом (хлор), 5л</t>
  </si>
  <si>
    <t>105 NG Acid Eso Кислотное беспенное средство на основе ортофосфорной кислоты, 5л</t>
  </si>
  <si>
    <t>818 NG Base Foam Cl Щелочное пенное средство с антибактериальным эффектом (хлор), 6кг</t>
  </si>
  <si>
    <t>Приобретение товаров и услуг ЧСЦБ-000230 от 29.02.2024 12:00:00</t>
  </si>
  <si>
    <t>166 NG GPH Щелочное пенное средство с дезинфицирующим эффектом (хлор) для использования в автоматиче</t>
  </si>
  <si>
    <t>106 NG NAC 15 Дезинфицирующее средство на основе НУК (15%), 20кг</t>
  </si>
  <si>
    <t>102 NG Acid Foam Eso Кислотное высокопенное средство на основе смеси минеральных кислот, 20 л</t>
  </si>
  <si>
    <t>Приобретение товаров и услуг ЧСЦБ-000254 от 06.03.2024 15:14:45</t>
  </si>
  <si>
    <t>113 NG Turbo Eso Высококонцентрированное высокощелочное высокопенное средство для термокамер, 5л</t>
  </si>
  <si>
    <t>101 NG Acid Foam Кислотное высокопенное средство на основе азотной кислоты, 10л</t>
  </si>
  <si>
    <t>Приобретение товаров и услуг ЧСЦБ-000255 от 06.03.2024 15:17:45</t>
  </si>
  <si>
    <t>106 NG NAC 15 Дезинфицирующее средство на основе НУК (15%), 5кг</t>
  </si>
  <si>
    <t>102 NG Acid Foam Eso Кислотное высокопенное средство на основе смеси минеральных кислот, 5л</t>
  </si>
  <si>
    <t>Приобретение товаров и услуг ЧСЦБ-000256 от 06.03.2024 15:19:09</t>
  </si>
  <si>
    <t>130 NG Caus Active Щелочное моющее средство для стирки творожных мешочков (хлор), 5л</t>
  </si>
  <si>
    <t>Приобретение товаров и услуг ЧСЦБ-000251 от 07.03.2024 12:00:00</t>
  </si>
  <si>
    <t>Приобретение товаров и услуг ЧСЦБ-000264 от 07.03.2024 12:35:28</t>
  </si>
  <si>
    <t>Приобретение товаров и услуг ЧСЦБ-000252 от 11.03.2024 12:00:00</t>
  </si>
  <si>
    <t>Приобретение товаров и услуг ЧСЦБ-000253 от 11.03.2024 12:00:00</t>
  </si>
  <si>
    <t>Приобретение товаров и услуг ЧСЦБ-000274 от 12.03.2024 15:50:27</t>
  </si>
  <si>
    <t>Приобретение товаров и услуг ЧСЦБ-000302 от 18.03.2024 11:58:35</t>
  </si>
  <si>
    <t>Средство для очистки внешних и внутренних поверхностей с антибактериальным эффектом "Клингард-77" в</t>
  </si>
  <si>
    <t>Приобретение товаров и услуг ЧСЦБ-000303 от 18.03.2024 16:34:07</t>
  </si>
  <si>
    <t>623 NG DEZ Дезинфицирующие средство, кожный антисептик (изопропанол 70%), 10л</t>
  </si>
  <si>
    <t>Приобретение товаров и услуг ЧСЦБ-000310 от 20.03.2024 12:00:00</t>
  </si>
  <si>
    <t>Приобретение товаров и услуг ЧСЦБ-000311 от 20.03.2024 12:00:00</t>
  </si>
  <si>
    <t>Приобретение товаров и услуг ЧСЦБ-000312 от 20.03.2024 12:00:00</t>
  </si>
  <si>
    <t>Приобретение товаров и услуг ЧСЦБ-000319 от 21.03.2024 10:00:00</t>
  </si>
  <si>
    <t>120 NG Caus CIP Щелочное беспенное средство для CIP-мойки, 1000л</t>
  </si>
  <si>
    <t>156 NG NAC 15 Дезинфицирующее средство на основе НУК (15%), электропроводный, 20кг</t>
  </si>
  <si>
    <t>Приобретение товаров и услуг ЧСЦБ-000320 от 21.03.2024 10:30:00</t>
  </si>
  <si>
    <t>Приобретение товаров и услуг ЧСЦБ-000337 от 22.03.2024 12:00:00</t>
  </si>
  <si>
    <t>313 NovelGuard Active Отбеливатель-дезинфектант на основе НУК (5%), 20л</t>
  </si>
  <si>
    <t>Приобретение товаров и услуг ЧСЦБ-000339 от 27.03.2024 12:00:00</t>
  </si>
  <si>
    <t>Приобретение товаров и услуг ЧСЦБ-000351 от 27.03.2024 12:00:00</t>
  </si>
  <si>
    <t>101 NG Acid Foam Кислотное высокопенное средство на основе азотной кислоты, 5л</t>
  </si>
  <si>
    <t>Приобретение товаров и услуг ЧСЦБ-000363 от 27.03.2024 16:59:35</t>
  </si>
  <si>
    <t>113 NG Turbo Eso Высококонцентрированное высокощелочное высокопенное средство для термокамер, 20л</t>
  </si>
  <si>
    <t>Приобретение товаров и услуг ЧСЦБ-000359 от 28.03.2024 12:00:00</t>
  </si>
  <si>
    <t>Приобретение товаров и услуг ЧСЦБ-000360 от 28.03.2024 12:00:00</t>
  </si>
  <si>
    <t>Приобретение товаров и услуг ЧСЦБ-000361 от 28.03.2024 12:00:00</t>
  </si>
  <si>
    <t>Приобретение товаров и услуг ЧСЦБ-000362 от 28.03.2024 12:00:00</t>
  </si>
  <si>
    <t>Приобретение товаров и услуг ЧСЦБ-000368 от 28.03.2024 14:00:19</t>
  </si>
  <si>
    <t>172 NG Fung Нейтральное средство для обработки поверхностей зараженных плесенью (биоцид), 10л</t>
  </si>
  <si>
    <t>ООО ХИМИТЭКС</t>
  </si>
  <si>
    <t>Приобретение товаров и услуг ЧСЦБ-000069 от 30.01.2024 11:00:00</t>
  </si>
  <si>
    <t>Средство для чистки внешних и внутренних поверхностей с антибактериальным эффектом "Форт" в 10 литро</t>
  </si>
  <si>
    <t>Приобретение товаров и услуг ЧСЦБ-000070 от 30.01.2024 11:00:00</t>
  </si>
  <si>
    <t>Приобретение товаров и услуг ЧСЦБ-000071 от 30.01.2024 11:00:00</t>
  </si>
  <si>
    <t>Приобретение товаров и услуг ЧСЦБ-000099 от 07.02.2024 0:00:00</t>
  </si>
  <si>
    <t>Приобретение товаров и услуг ЧСЦБ-000163 от 19.02.2024 10:00:00</t>
  </si>
  <si>
    <t>Приобретение товаров и услуг ЧСЦБ-000200 от 26.02.2024 12:00:00</t>
  </si>
  <si>
    <t>Приобретение товаров и услуг ЧСЦБ-000313 от 20.03.2024 12:00:00</t>
  </si>
  <si>
    <t>Приобретение товаров и услуг ЧСЦБ-000356 от 28.03.2024 10:00:00</t>
  </si>
  <si>
    <t>Приобретение товаров и услуг ЧСЦБ-000357 от 28.03.2024 10:00:00</t>
  </si>
  <si>
    <t>Приобретение товаров и услуг ЧСЦБ-000358 от 28.03.2024 10:00:00</t>
  </si>
  <si>
    <t>ПРОФКОНТРАКТ ООО</t>
  </si>
  <si>
    <t>Приобретение товаров и услуг ЧСЦБ-000035 от 19.01.2024 15:05:57</t>
  </si>
  <si>
    <t>Ratiodem WP tabs100 / таблетированное моющее средство с маркировкой Алкадем для пароконвектоматов, в</t>
  </si>
  <si>
    <t>Приобретение товаров и услуг ЧСЦБ-000347 от 26.03.2024 12:14:50</t>
  </si>
  <si>
    <t>ПРОФСТРОЙ ООО</t>
  </si>
  <si>
    <t>Приобретение товаров и услуг ЧСЦБ-000249 от 05.03.2024 13:13:04</t>
  </si>
  <si>
    <t>Зарядное устройство Everest Energy 24V50 Amps. Lit Ion SB50red</t>
  </si>
  <si>
    <t>Аккумулятор Everest Energy LifePO4 24V202ah</t>
  </si>
  <si>
    <t>САНМЕК ООО</t>
  </si>
  <si>
    <t>Приобретение товаров и услуг ЧСЦБ-000376 от 25.03.2024 23:59:59</t>
  </si>
  <si>
    <t>7000001092033 Труба 1/4” нейлоновая (ПА12) черная</t>
  </si>
  <si>
    <t>СБС ООО</t>
  </si>
  <si>
    <t>Приобретение товаров и услуг ЧСЦБ-000024 от 12.01.2024 12:00:00</t>
  </si>
  <si>
    <t>Фартук HACCPER Uretex 1500х830 мм, 150 мкм, белый</t>
  </si>
  <si>
    <t>550155 Нарукавник HACCPER Uretex 460х220 мм, 150 мкм, белый</t>
  </si>
  <si>
    <t>Приобретение товаров и услуг ЧСЦБ-000055 от 24.01.2024 12:00:00</t>
  </si>
  <si>
    <t>Диспенсер (держатель) HACCPER Control Point для многоразовых фартуков и фартуков в пластах</t>
  </si>
  <si>
    <t>Диспенсер HACCPER Control Point для фартуков и халатов в пластах</t>
  </si>
  <si>
    <t>Фартук Uretex Blue с рукавами, размер L, 1300х950 мм</t>
  </si>
  <si>
    <t>Фартук Uretex Blue с рукавами, размер M, 1285х870 мм</t>
  </si>
  <si>
    <t>Приобретение товаров и услуг ЧСЦБ-000079 от 31.01.2024 16:54:37</t>
  </si>
  <si>
    <t>117575-15 Покрытие HACCPER Keepsa для тележки-чана 750x750 мм,  500 шт/рул</t>
  </si>
  <si>
    <t>Приобретение товаров и услуг ЧСЦБ-000089 от 01.02.2024 12:00:00</t>
  </si>
  <si>
    <t>869110B/9110B Совок ручной HACCPER усиленный, синий</t>
  </si>
  <si>
    <t>Приобретение товаров и услуг ЧСЦБ-000088 от 02.02.2024 12:00:00</t>
  </si>
  <si>
    <t>950100 Фартук HACCPER Uretex 1500х830 мм, 150 мкм, синий</t>
  </si>
  <si>
    <t>Приобретение товаров и услуг ЧСЦБ-000137 от 13.02.2024 12:00:00</t>
  </si>
  <si>
    <t>865125G Ерш HACCPER, диаметр 63 мм, зеленый</t>
  </si>
  <si>
    <t>Приобретение товаров и услуг ЧСЦБ-000147 от 14.02.2024 12:00:00</t>
  </si>
  <si>
    <t>dez6090-10 Мат дезинфицирующий HACCPER Dezmatta с основой 950х650х18 мм, серый</t>
  </si>
  <si>
    <t xml:space="preserve"> dez90120-10 Мат дезинфицирующий HACCPER Dezmatta с основой 1200*900*18 мм, серый</t>
  </si>
  <si>
    <t>Приобретение товаров и услуг ЧСЦБ-000194 от 21.02.2024 12:00:00</t>
  </si>
  <si>
    <t>861907-FB/1907-FB Рукоятка HACCPER стекловолокно, 1500 мм, синяя</t>
  </si>
  <si>
    <t>Приобретение товаров и услуг ЧСЦБ-000195 от 21.02.2024 12:00:00</t>
  </si>
  <si>
    <t>950325 Фартук полиуретановый многоразовый HACCPER Uretex HARDWHITE 1210х890мм, 300мкм, белый</t>
  </si>
  <si>
    <t>Приобретение товаров и услуг ЧСЦБ-000211 от 22.02.2024 12:00:00</t>
  </si>
  <si>
    <t>864701R/4701R  Щетка HACCPER для подметания, средней  жесткости, 270 мм, красная</t>
  </si>
  <si>
    <t>861907-AR/1907-AR Рукоятка HACCPER алюминиевая, 1500 мм красный</t>
  </si>
  <si>
    <t>271903R Рукоятка HACCPER Control Point алюминиевая, 750 мм, красный</t>
  </si>
  <si>
    <t>Приобретение товаров и услуг ЧСЦБ-000212 от 22.02.2024 12:00:00</t>
  </si>
  <si>
    <t>4332R Щетка HACCPER ручная круглая, средней жесткости, красная</t>
  </si>
  <si>
    <t>Приобретение товаров и услуг ЧСЦБ-000222 от 22.02.2024 12:00:00</t>
  </si>
  <si>
    <t>864701B/470 Щетка HACCPER для подметания, средней жесткости, 270 мм, синяя</t>
  </si>
  <si>
    <t>864701G/4701G Щетка HACCPER для подметания, средней жесткости, 270 мм, зеленый</t>
  </si>
  <si>
    <t>4802Y Щетка-ерш HACCPER для мытья емкостей, жесткая, 250 мм, желтая</t>
  </si>
  <si>
    <t>869961B/9961B Сгон HACCPER сверхгигиеничный однолезвенный, 595 мм, синий</t>
  </si>
  <si>
    <t>869961Y/9961Y Сгон HACCPER сверхгигиеничный однолезвенный, 595 мм, желтый</t>
  </si>
  <si>
    <t>1124-PBD Щетка HACCPER для подметания, мягкая, 609 мм, синяя</t>
  </si>
  <si>
    <t>1124-PYD Щетка HACCPER для подметания, мягкая, 609 мм, желтая</t>
  </si>
  <si>
    <t>4501В Щетка HACCPER для мытья полов и стен, жесткая, 254 мм синяя</t>
  </si>
  <si>
    <t>4501Y Щетка HACCPER для мытья полов и стен, жесткая, 254 мм желтая</t>
  </si>
  <si>
    <t>864801В Щетка-ерш HACCPER для мытья емкостей, жесткая, синяя</t>
  </si>
  <si>
    <t>Приобретение товаров и услуг ЧСЦБ-000257 от 05.03.2024 12:00:00</t>
  </si>
  <si>
    <t>864701G Щетка HACCPER для подметания, средней жесткости, 270 мм, зеленая</t>
  </si>
  <si>
    <t>869103G Совок-ловушка HACCPER с крышкой и фиксатором щетки, зеленый</t>
  </si>
  <si>
    <t>1902-AG Рукоятка HACCPER алюминиевая, 750 мм, зеленая</t>
  </si>
  <si>
    <t>Приобретение товаров и услуг ЧСЦБ-000279 от 12.03.2024 12:00:00</t>
  </si>
  <si>
    <t>240360 NEW Материал протирочный HACCPER PURE PULP BLUE, 24*36см, син, 1000 л/рул</t>
  </si>
  <si>
    <t>Приобретение товаров и услуг ЧСЦБ-000280 от 12.03.2024 12:00:00</t>
  </si>
  <si>
    <t>Приобретение товаров и услуг ЧСЦБ-000281 от 13.03.2024 15:19:16</t>
  </si>
  <si>
    <t>101004 Система хранения HACCPER Control Point для 4-х приборов из нержавеющей стали</t>
  </si>
  <si>
    <t>861119B/1119-PBD Щетка HACCPER для подметания, средней жесткости, 455 мм, синяя</t>
  </si>
  <si>
    <t>Приобретение товаров и услуг ЧСЦБ-000318 от 18.03.2024 12:00:00</t>
  </si>
  <si>
    <t>9104B Держатель Headliner NOBRUSH для лайнеров, 228х95 мм</t>
  </si>
  <si>
    <t>1012080-15 Покрытие HACCPER Keepsa для паллет 1200x800 мм</t>
  </si>
  <si>
    <t>Приобретение товаров и услуг ЧСЦБ-000332 от 20.03.2024 12:00:00</t>
  </si>
  <si>
    <t>116868-15 Покрытие HACCPER Keepsa для тележки-чана 680x680 мм, 500 шт/рул</t>
  </si>
  <si>
    <t>101121 Диспенсер HACCPER Control Point для покрытий на тележку-шпильку</t>
  </si>
  <si>
    <t>1012080-15 Покрытие HACCPER Keepsa для паллет 1200x800мм,  250шт/рул</t>
  </si>
  <si>
    <t>869103B Совок-ловушка HACCPER с крышкой и фиксатором щетки, синий</t>
  </si>
  <si>
    <t>1903-AB Рукоятка HACCPER алюминиевая, 750 мм, синий</t>
  </si>
  <si>
    <t>869103R Совок-ловушка HACCPER с крышкой и фиксатором щетки, красный</t>
  </si>
  <si>
    <t>Приобретение товаров и услуг ЧСЦБ-000349 от 22.03.2024 12:00:00</t>
  </si>
  <si>
    <t>Мат дезинфицирующий HACCPER Dezmatta 950х650, серый</t>
  </si>
  <si>
    <t>dez90120-10 Мат дезинфицирующий HACCPER Dezmatta 1200х900, серый</t>
  </si>
  <si>
    <t>Приобретение товаров и услуг ЧСЦБ-000350 от 22.03.2024 12:00:00</t>
  </si>
  <si>
    <t>dez4760-10 Мат дезинфицирующий HACCPER Dezmatta с основой 600х470х18 мм, серый</t>
  </si>
  <si>
    <t>864603Y/4603Y Щетка-сметка HACCPER мягкая, 340 мм желтый</t>
  </si>
  <si>
    <t>869110Y/9110Y Совок ручной HACCPER усиленный, желтый</t>
  </si>
  <si>
    <t>864021B Щетка HACCPER узкая, для мелких деталей, синяя</t>
  </si>
  <si>
    <t>864603G/4603GЩетка-сметка HACCPER мягкая, 325 мм, зеленый</t>
  </si>
  <si>
    <t>869110G/9110G Совок ручной HACCPER усиленный, зеленый</t>
  </si>
  <si>
    <t>501005B Органайзер настенный HACCPER Control Point для 5 предметов, синий</t>
  </si>
  <si>
    <t>501005R Органайзер настенный HACCPER Control Point для 5 предметов, красный</t>
  </si>
  <si>
    <t>501005Y Органайзер настенный HACCPER Control Point для 5 предметов, желтый</t>
  </si>
  <si>
    <t>501005G Органайзер настенный HACCPER Control Point для 5 предметов, зеленый</t>
  </si>
  <si>
    <t>864701B/4701B Щетка HACCPER для подметания, средней жесткости, 270 мм, синяя</t>
  </si>
  <si>
    <t>869103B/9103B Совок-ловушка HACCPER с крышкой и фиксатором щетки, синий</t>
  </si>
  <si>
    <t>9102Y Совок-ловушка HACCPER с фиксатором щетки, желтый</t>
  </si>
  <si>
    <t>271903Y Рукоятка HACCPER Control Point алюминиевая, 750 мм, желтый</t>
  </si>
  <si>
    <t>864701Y/4701Y Щетка HACCPER для подметания, средней жесткости, 270 мм, желтая</t>
  </si>
  <si>
    <t>2512144B Лайнер абразивный (пад) HACCPER NOBRUSH Blue liner 501 для стен и поверхностей 250*120мм</t>
  </si>
  <si>
    <t>861907-AB/1907-AB Рукоятка HACCPER алюминиевая, 1500 мм синий</t>
  </si>
  <si>
    <t>861907-AG/1907-AG Рукоятка HACCPER алюминиевая, 1500 мм зеленая</t>
  </si>
  <si>
    <t>861907-AY/1907-AY Рукоятка HACCPER алюминиевая, 1500 мм желтая</t>
  </si>
  <si>
    <t>Приобретение товаров и услуг ЧСЦБ-000375 от 27.03.2024 12:00:00</t>
  </si>
  <si>
    <t>568631-Y Ведро пищевое HACCPER с носиком и мерной шкалой, 15л, желтое</t>
  </si>
  <si>
    <t>868807 Контейнер пищевой HACCPER круглый, 15 л, с крышкой</t>
  </si>
  <si>
    <t>865332Y Профессиональная разделочная доска HACCPER Gastra, желтая</t>
  </si>
  <si>
    <t>869961G/9961G Сгон HACCPER сверхгигиеничный однолезвенный, 595 мм, зеленый</t>
  </si>
  <si>
    <t>869961W Сгон HACCPER сверхгигиеничный однолезвенный, 595 мм, белый</t>
  </si>
  <si>
    <t>864801B Щетка-ерш HACCPER для мытья емкостей, жесткая, синяя</t>
  </si>
  <si>
    <t>861907-FY/1907-FY Рукоятка HACCPER стекловолокно, 1500 мм, желтая</t>
  </si>
  <si>
    <t>861907-FW/1907-FW Рукоятка HACCPER стекловолокно, 1500 мм, белая</t>
  </si>
  <si>
    <t>861907-FG/1907-FG Рукоятка HACCPER стекловолокно, 1500 мм, зеленая</t>
  </si>
  <si>
    <t>1902-AW Рукоятка HACCPER алюминиевая, 750 мм, белая</t>
  </si>
  <si>
    <t>864331W Щетка HACCPER ручная круглая, средней жесткости, белый</t>
  </si>
  <si>
    <t>864331B Щетка HACCPER ручная круглая, средней жесткости, синяя</t>
  </si>
  <si>
    <t>864021W Щетка HACCPER узкая, для мелких деталей, белая</t>
  </si>
  <si>
    <t>864001B Щетка HACCPER с короткой ручкой для мытья и оттирки, жесткая, синяя</t>
  </si>
  <si>
    <t>864001W Щетка HACCPER с короткой ручкой для мытья и оттирки, жесткая, белый</t>
  </si>
  <si>
    <t>864201B Щетка HACCPER разноуровневая, жесткая, 252 мм, синяя</t>
  </si>
  <si>
    <t>9701R Совок пищевой HACCPER ручной, 1 л, красный</t>
  </si>
  <si>
    <t>868803 Контейнер пищевой HACCPER круглый, 4 л, с крышкой</t>
  </si>
  <si>
    <t>5002GB Кисточка HACCPER кондитерская с крючком, мягкая, ширина щетины - 50 мм, синяя</t>
  </si>
  <si>
    <t>864311B Щетка-утюжок HACCPER для мытья и оттирки, синяя</t>
  </si>
  <si>
    <t>864311Y Щетка-утюжок HACCPER для мытья и оттирки, желтый</t>
  </si>
  <si>
    <t>192360 Рукоятка HACCPER телескопическая, 2000-4000 мм, серая</t>
  </si>
  <si>
    <t>864311W Щетка-утюжок HACCPER для мытья и оттирки, белая</t>
  </si>
  <si>
    <t>4202W Щетка HACCPER разноуровневая, жесткая, 254 мм, белая</t>
  </si>
  <si>
    <t>9930W Сгон HACCPER сверхгигиеничный ручной однолезвенный с мини-рукояткой, 300 мм, белый</t>
  </si>
  <si>
    <t>9930Y Сгон HACCPER сверхгигиеничный ручной однолезвенный, с мини рукояткой, 300 мм, желтый</t>
  </si>
  <si>
    <t>СЕКО ООО</t>
  </si>
  <si>
    <t>Приобретение товаров и услуг ЧСЦБ-000075 от 29.01.2024 12:00:00</t>
  </si>
  <si>
    <t>9900100165 Устройство всасывания FPM с контролем уровня 650х34 мм</t>
  </si>
  <si>
    <t>Приобретение товаров и услуг ЧСЦБ-000188 от 14.02.2024 23:59:59</t>
  </si>
  <si>
    <t>PPA0009A1000_A Насос дозирующий PA 9 c трубкой Santoprene 6x10</t>
  </si>
  <si>
    <t>Сэйлз Модерн Групп ООО</t>
  </si>
  <si>
    <t>Приобретение товаров и услуг ЧСЦБ-000001 от 04.01.2024 9:15:26</t>
  </si>
  <si>
    <t>О-кольцо 14,00х3,00 NBR70</t>
  </si>
  <si>
    <t>Пружина сжатия L 26,5 мм ф 2,5 мм нерж.</t>
  </si>
  <si>
    <t>20-000801.5 Ремкомплект пневматического клапана (28.12.23)</t>
  </si>
  <si>
    <t>20-400010.5 Игольчатый кран 1/4 (желтый) (28.12.23)</t>
  </si>
  <si>
    <t>Штуцер G1/4</t>
  </si>
  <si>
    <t>Шайба гровер DIN127 AISI 301 M8 (уп./1000шт)</t>
  </si>
  <si>
    <t>Гайка DIN 934 A2-70 M8 (уп./500шт.)</t>
  </si>
  <si>
    <t>21041 Манометр. GMM63-16</t>
  </si>
  <si>
    <t>27106 МАНОМЕТР.GMM63-60</t>
  </si>
  <si>
    <t>502 808 (CH) форсунка для нанесения пены 200л/мин. угол распыления 65 градусов, белая</t>
  </si>
  <si>
    <t>502 807 153 0 (CH) форсунка для ополаскивания 30л/мин. угол распыления 15 градусов, зеленая</t>
  </si>
  <si>
    <t>502 807 652 01 (CH) Насадка для дезинфектанта</t>
  </si>
  <si>
    <t>203 100 260 (CH) кран запорный</t>
  </si>
  <si>
    <t>Шланг ПВХ армированный 6х10мм. х 1 м 20/60bar (кратно 50 м). Италия BRADAS TH06*2</t>
  </si>
  <si>
    <t>Кольцо FKM75, 1.50 x 32.00 кор/мат</t>
  </si>
  <si>
    <t>Штуцер М12х1</t>
  </si>
  <si>
    <t>Болт  DIN 933 А2-70 М8х50 (уп./100шт)</t>
  </si>
  <si>
    <t>Приобретение товаров и услуг ЧСЦБ-000002 от 09.01.2024 8:55:49</t>
  </si>
  <si>
    <t>YO CH 012 рукав для пищевой промышленности синий 80 бар DN12 IPL</t>
  </si>
  <si>
    <t>Вращающийся наконечник из нержавеющей стали, наружная резьба 1/2"</t>
  </si>
  <si>
    <t>Приобретение товаров и услуг ЧСЦБ-000003 от 09.01.2024 9:00:02</t>
  </si>
  <si>
    <t>003.020408 Быстроразъемное соединение "мама" 1/2" наружная резьба, 350 бар</t>
  </si>
  <si>
    <t>003.021308 Быстроразъемное соединение "папа" 1/2" внутренняя резьба, 350 бар</t>
  </si>
  <si>
    <t>Рукав для пищевой промышленности, синий 25 м, 1/2 AGR - 1/2 AGR нерж.(26.12.23)</t>
  </si>
  <si>
    <t>329 012 129 ремкомплект рукава DN12 AGR 1/2</t>
  </si>
  <si>
    <t>Приобретение товаров и услуг ЧСЦБ-000004 от 09.01.2024 9:03:08</t>
  </si>
  <si>
    <t>Установка моечная автомолцистерн ЧСТ 3/21-15 PLUS ТУ BY 192425711.001-2020 (22.11.23)</t>
  </si>
  <si>
    <t>Приобретение товаров и услуг ЧСЦБ-000005 от 10.01.2024 8:58:59</t>
  </si>
  <si>
    <t>Приобретение товаров и услуг ЧСЦБ-000006 от 10.01.2024 9:00:56</t>
  </si>
  <si>
    <t>20-052 Пистолет для мойки низкого давления, 24 бар, 100 л/мин</t>
  </si>
  <si>
    <t>Приобретение товаров и услуг ЧСЦБ-000007 от 10.01.2024 9:02:42</t>
  </si>
  <si>
    <t>Узел щеток к станции гигиены SN-3</t>
  </si>
  <si>
    <t>Приобретение товаров и услуг ЧСЦБ-000008 от 10.01.2024 9:04:03</t>
  </si>
  <si>
    <t>Приобретение товаров и услуг ЧСЦБ-000009 от 10.01.2024 9:05:49</t>
  </si>
  <si>
    <t>Узел щеток к станции гигиены SO-4L (2 сборные щетки, прореженный ворс)</t>
  </si>
  <si>
    <t>Приобретение товаров и услуг ЧСЦБ-000010 от 10.01.2024 9:07:59</t>
  </si>
  <si>
    <t>Установка пенной мойки "ЧСТ" (28.12.23)</t>
  </si>
  <si>
    <t>Приобретение товаров и услуг ЧСЦБ-000012 от 11.01.2024 8:49:23</t>
  </si>
  <si>
    <t>553000 Торк диспенсер для листовых полотенец сложения ZZ и C белый</t>
  </si>
  <si>
    <t>Приобретение товаров и услуг ЧСЦБ-000013 от 11.01.2024 8:57:25</t>
  </si>
  <si>
    <t>87862 стяжка д/пола синяя 60см</t>
  </si>
  <si>
    <t>8729 мешалка пластиковая, 190х120х40мм</t>
  </si>
  <si>
    <t>8710 рукоятка д/щетки белая 1450х25х1,5мм</t>
  </si>
  <si>
    <t>Дез.коврик ЭКО 65*100*3 см</t>
  </si>
  <si>
    <t>Дез.коврик ЭКО  50*65*3 см</t>
  </si>
  <si>
    <t>Локтевой дозатор универс. для жидкого мыла, дез.растворов 1000мл Puff-8197 пластик. код 1402.108</t>
  </si>
  <si>
    <t>Электросушитель для рук Puff-8820  белый, пластик 1401.308</t>
  </si>
  <si>
    <t>87120 рукоятка д/щетки белая 1400х22х1,0мм</t>
  </si>
  <si>
    <t>Приобретение товаров и услуг ЧСЦБ-000020 от 15.01.2024 9:26:27</t>
  </si>
  <si>
    <t>20-200200.5 Обратный клапан 1.1/2"</t>
  </si>
  <si>
    <t>20-900090.5 Ремкомплект дозатора G5 (SC) (EPDM)</t>
  </si>
  <si>
    <t>20-400053.5 Дозатор G5 (01.12.23)</t>
  </si>
  <si>
    <t>15-010161.5 Воздушный фитинг (прямой)</t>
  </si>
  <si>
    <t>Рукав ПВХ 6*11 (прозрачный)</t>
  </si>
  <si>
    <t>23-013 Пластиковый фильтр-заборник</t>
  </si>
  <si>
    <t>20-900028.5 Ремкомплект обратного клапана химии</t>
  </si>
  <si>
    <t>641100.5 Комплект уплотнительных колец для БРС</t>
  </si>
  <si>
    <t>Манометр М043-Р12</t>
  </si>
  <si>
    <t>002.010336 Копье для пистолета ВД, 1/4", 900 мм</t>
  </si>
  <si>
    <t>22-000044.5 Манометр 16бар</t>
  </si>
  <si>
    <t>22-000042.5 Манометр 60бар</t>
  </si>
  <si>
    <t>Торцевое уплотнение к многоступенчатым насосам, арт. QYGF-12V (CDLF 3-33)</t>
  </si>
  <si>
    <t>003.020408P Муфта быстросъемная AG 1/2", нержавеющая сталь, с пластиковой защитой</t>
  </si>
  <si>
    <t>Приобретение товаров и услуг ЧСЦБ-000021 от 15.01.2024 9:29:00</t>
  </si>
  <si>
    <t>Сателлитная станция ЧСТ 1 FD S (T2,SС,G1+N) (11.01.24)</t>
  </si>
  <si>
    <t>Приобретение товаров и услуг ЧСЦБ-000022 от 16.01.2024 8:57:40</t>
  </si>
  <si>
    <t>Дозатор локтевой ДЛ-1  ТУ BY 290670262.023-2014</t>
  </si>
  <si>
    <t>Приобретение товаров и услуг ЧСЦБ-000023 от 16.01.2024 9:02:14</t>
  </si>
  <si>
    <t>202 720 550 Пистолет высокого давления</t>
  </si>
  <si>
    <t>Рукав для пищевой промышленности, синий 25 м, 1/2 AGR - 1/2 AGR нерж.</t>
  </si>
  <si>
    <t>Приобретение товаров и услуг ЧСЦБ-000026 от 17.01.2024 8:54:34</t>
  </si>
  <si>
    <t>924S-15B Барабан с поворотным соединением для рукава 1/2"</t>
  </si>
  <si>
    <t>Приобретение товаров и услуг ЧСЦБ-000027 от 17.01.2024 9:03:34</t>
  </si>
  <si>
    <t>4.686-031.0 термостат</t>
  </si>
  <si>
    <t>5.332-268.0 пружина</t>
  </si>
  <si>
    <t>6.365-055.0 сальник водяной</t>
  </si>
  <si>
    <t>6.365-377.0 пластиковое уплотнение</t>
  </si>
  <si>
    <t>2.644-230.0 Набор для переоборудования</t>
  </si>
  <si>
    <t>5.110-867.0 муфта</t>
  </si>
  <si>
    <t>5.363-336.0 прокладка</t>
  </si>
  <si>
    <t>6.343-162.0 стопорное кольцо</t>
  </si>
  <si>
    <t>Приобретение товаров и услуг ЧСЦБ-000032 от 19.01.2024 9:26:55</t>
  </si>
  <si>
    <t>20-900028.5 Ремкомплект обратного клапана химии (17.01.24)</t>
  </si>
  <si>
    <t>Рукав для пищевой промышленности, синий 35 м, 1/2AGR - 1/2AGR IPL (17.01.24)</t>
  </si>
  <si>
    <t>309 165 Эластомер (защита от изгиба) DN12 23,5 мм</t>
  </si>
  <si>
    <t>Приобретение товаров и услуг ЧСЦБ-000033 от 19.01.2024 9:28:40</t>
  </si>
  <si>
    <t>Приобретение товаров и услуг ЧСЦБ-000036 от 22.01.2024 9:12:27</t>
  </si>
  <si>
    <t>Приобретение товаров и услуг ЧСЦБ-000037 от 22.01.2024 9:18:18</t>
  </si>
  <si>
    <t>P-HRS-2 Поворотный кронштейн к барабану 30 м</t>
  </si>
  <si>
    <t>Рукав для пищевой промышленности, синий 2,5 м, 1/2 AGR - 1/2 AGR нерж. (27.10.23)</t>
  </si>
  <si>
    <t>Рукав для пищевой промышленности, синий 30 м, 1/2 AGR - 1/2 AGR нерж. (09.11.23)</t>
  </si>
  <si>
    <t>Сателлитная станция ЧСТ 1 FD SP (T4, G5, SC, PF+PD)  (18.01.24)</t>
  </si>
  <si>
    <t>Приобретение товаров и услуг ЧСЦБ-000038 от 22.01.2024 9:22:10</t>
  </si>
  <si>
    <t>Приобретение товаров и услуг ЧСЦБ-000039 от 22.01.2024 9:26:49</t>
  </si>
  <si>
    <t>Рукав для пищевой промышленности, синий 30 м, 1/2 AGR - 1/2 AGR нерж.</t>
  </si>
  <si>
    <t>Рукав для пищевой промышленности, синий 25 м, 1/2 AGR - 1/2 AGR нерж. (17.01.24)</t>
  </si>
  <si>
    <t>Приобретение товаров и услуг ЧСЦБ-000040 от 22.01.2024 10:10:55</t>
  </si>
  <si>
    <t>Рукав для пищевой промышленности, синий 15 м, 1/2 IGR - 1/2 AGR нерж.  (19.01.24)</t>
  </si>
  <si>
    <t>003.020308 Быстроразъемное соединение "мама" 1/2" внутренняя резьба, 350 бар</t>
  </si>
  <si>
    <t>Приобретение товаров и услуг ЧСЦБ-000042 от 23.01.2024 9:25:54</t>
  </si>
  <si>
    <t>Рукав для пищевой промышленности, синий 15 м, 1/2 AGR - 1/2 AGR нерж.</t>
  </si>
  <si>
    <t>203 100 460 Муфта (003.020308)</t>
  </si>
  <si>
    <t>Приобретение товаров и услуг ЧСЦБ-000043 от 23.01.2024 9:31:22</t>
  </si>
  <si>
    <t>Рукав для пищевой промышленности, синий 10 м, 1/2 AGR - 1/2 AGR нерж. (27.12.23)</t>
  </si>
  <si>
    <t>Фитинг S6510 8-1/4</t>
  </si>
  <si>
    <t>0631000003 Кран комбинированный, наружная резьба R ISO7 внутренняя. резьба PR ISO7 6310_GHI 1/4-1/4</t>
  </si>
  <si>
    <t>Сателлитная станция ЧСТ 1 FD S (T2,SC,G1+N) (28.09.23)</t>
  </si>
  <si>
    <t>Приобретение товаров и услуг ЧСЦБ-000044 от 23.01.2024 9:36:23</t>
  </si>
  <si>
    <t>Трубка TRN 6/4 NX</t>
  </si>
  <si>
    <t>5.110-865.0 муфта</t>
  </si>
  <si>
    <t>4.427-040.0 Узловая деталь комплектный запорный винт</t>
  </si>
  <si>
    <t>2.880-990.0 набор сальников (1х5)</t>
  </si>
  <si>
    <t>Переключатель ППМ</t>
  </si>
  <si>
    <t>Приобретение товаров и услуг ЧСЦБ-000045 от 23.01.2024 9:52:39</t>
  </si>
  <si>
    <t>Корпус воздушной дюзы</t>
  </si>
  <si>
    <t>Воздушная дюза</t>
  </si>
  <si>
    <t>Пружина СМГ</t>
  </si>
  <si>
    <t>Фиксатор пружины (3д печать)</t>
  </si>
  <si>
    <t>Фитинг 6463 6-1/4</t>
  </si>
  <si>
    <t>Преобразователь давления ПД100-ДИ2,5-181-1,0</t>
  </si>
  <si>
    <t>Клапан Ø10 мм (капролон)</t>
  </si>
  <si>
    <t>080 000 320 тканевый шланг желтый DN9</t>
  </si>
  <si>
    <t>Кольцо 6х1,5 NBR 70</t>
  </si>
  <si>
    <t>Приобретение товаров и услуг ЧСЦБ-000047 от 24.01.2024 9:17:13</t>
  </si>
  <si>
    <t>BOACHA850 Клеевые пластины черные для устройства для отлова насекомых, 1х6, 135-000047</t>
  </si>
  <si>
    <t>Приобретение товаров и услуг ЧСЦБ-000048 от 24.01.2024 9:19:18</t>
  </si>
  <si>
    <t>Приобретение товаров и услуг ЧСЦБ-000049 от 24.01.2024 9:50:56</t>
  </si>
  <si>
    <t>20-200410.5 Обратный клапан 1/2" (общая)</t>
  </si>
  <si>
    <t>110001102.5 Обратный клапан (химия) (общая)</t>
  </si>
  <si>
    <t>110001979.5 Обратный клапан (воздух) (общая)</t>
  </si>
  <si>
    <t>15-010161.5 Воздушный фитинг (прямой) (общая)</t>
  </si>
  <si>
    <t>Приобретение товаров и услуг ЧСЦБ-000050 от 24.01.2024 10:26:45</t>
  </si>
  <si>
    <t>Ноутбук LENOVO 83ES0012RK Китай</t>
  </si>
  <si>
    <t>Наушники 45569 Logitech H150 (белый) арт. 981-000350</t>
  </si>
  <si>
    <t>Мышь беспроводная Defender Vitrual MB-black (USB, Bluetooth, 4 кнопки, оптическая, 1600dpi) 52635</t>
  </si>
  <si>
    <t>Кабель-адаптер 5bites UA3C-45-07BK 1 RJ45</t>
  </si>
  <si>
    <t>Приобретение товаров и услуг ЧСЦБ-000051 от 24.01.2024 10:59:35</t>
  </si>
  <si>
    <t>Приобретение товаров и услуг ЧСЦБ-000053 от 25.01.2024 9:01:43</t>
  </si>
  <si>
    <t>83ES0012RK*83ES0012RK LENOVO IdeaPad Slim 3 16IAH8 CORE_I5-12450H_2/0G_8C_1 2T 8GB 512GB Китай</t>
  </si>
  <si>
    <t>Приобретение товаров и услуг ЧСЦБ-000054 от 25.01.2024 12:30:55</t>
  </si>
  <si>
    <t>Манометр ЭКМ100Вм-4,0 мПа-2,5 исп.2</t>
  </si>
  <si>
    <t>Приобретение товаров и услуг ЧСЦБ-000056 от 26.01.2024 9:05:25</t>
  </si>
  <si>
    <t>Приобретение товаров и услуг ЧСЦБ-000059 от 29.01.2024 9:04:07</t>
  </si>
  <si>
    <t>81232 ерш 500/20 мм, синий</t>
  </si>
  <si>
    <t>Приобретение товаров и услуг ЧСЦБ-000060 от 29.01.2024 9:06:20</t>
  </si>
  <si>
    <t>Приобретение товаров и услуг ЧСЦБ-000061 от 29.01.2024 9:10:00</t>
  </si>
  <si>
    <t>Моющая голова MP 200-4-1.5-360°-316LSS-3/4"BSPP</t>
  </si>
  <si>
    <t>Плунжерный насос DSG4020-N24</t>
  </si>
  <si>
    <t>Приобретение товаров и услуг ЧСЦБ-000062 от 29.01.2024 9:12:02</t>
  </si>
  <si>
    <t>Установка ультрафиолетовая бактерицидная УФБО РВБ-01/15 (IP20)</t>
  </si>
  <si>
    <t>Приобретение товаров и услуг ЧСЦБ-000063 от 29.01.2024 9:39:14</t>
  </si>
  <si>
    <t>Многоступенчатый насос CDLF 15-14, 15 кВт</t>
  </si>
  <si>
    <t>Приобретение товаров и услуг ЧСЦБ-000073 от 30.01.2024 8:54:24</t>
  </si>
  <si>
    <t>20-900028.5 Ремкомплект обратного клапана химии (общая)</t>
  </si>
  <si>
    <t>20-000801.5 Ремкомплект пневматического клапана (25.09.23)</t>
  </si>
  <si>
    <t>Приобретение товаров и услуг ЧСЦБ-000074 от 30.01.2024 8:56:41</t>
  </si>
  <si>
    <t>Многоступенчатый насос CDLF 8-20, 7,5 кВт</t>
  </si>
  <si>
    <t>Приобретение товаров и услуг ЧСЦБ-000076 от 31.01.2024 9:04:17</t>
  </si>
  <si>
    <t>Лампа люминисцентная ATR UVA T8 15W G13 аналог TUB15W490</t>
  </si>
  <si>
    <t>Приобретение товаров и услуг ЧСЦБ-000077 от 31.01.2024 9:07:11</t>
  </si>
  <si>
    <t>Лампа газоразрядная ультрафиолетового излучения бактерицидная LightBest 700709014 LBC 8W T5 g5</t>
  </si>
  <si>
    <t>Приобретение товаров и услуг ЧСЦБ-000080 от 01.02.2024 9:18:45</t>
  </si>
  <si>
    <t>Приобретение товаров и услуг ЧСЦБ-000081 от 01.02.2024 9:20:51</t>
  </si>
  <si>
    <t>Сателлитная станция ЧСТ 1 FD SP (T4, G4, SC, PF+PD) (30.01.24)</t>
  </si>
  <si>
    <t>Приобретение товаров и услуг ЧСЦБ-000082 от 01.02.2024 9:26:33</t>
  </si>
  <si>
    <t>Торцевое уплотнение к многоступенчатым насосам, арт. QYGF-16V/T (CDLF 15-14, CDLF 15-17)</t>
  </si>
  <si>
    <t>21-000023.5 Реле потока 1 1/2" (06.10.23)</t>
  </si>
  <si>
    <t>Приобретение товаров и услуг ЧСЦБ-000084 от 02.02.2024 9:13:51</t>
  </si>
  <si>
    <t>Облучатель бактерицидный настенный ОБН-150-54-2х60</t>
  </si>
  <si>
    <t>Приобретение товаров и услуг ЧСЦБ-000085 от 05.02.2024 9:16:48</t>
  </si>
  <si>
    <t>MP200-03-0100-007 Планетарная шестерня A</t>
  </si>
  <si>
    <t>MP200-03-0100-0010 Корпус конической шестерни</t>
  </si>
  <si>
    <t>MP200-03-0100-009 Втулка турбины верхняя</t>
  </si>
  <si>
    <t>MP200-03-0100-008 Планетарная шестерня B</t>
  </si>
  <si>
    <t>Приобретение товаров и услуг ЧСЦБ-000086 от 05.02.2024 9:19:07</t>
  </si>
  <si>
    <t>Установка моечная автомолцистерн ЧСТ 2/42-15 PLUS (23.01.24)</t>
  </si>
  <si>
    <t>Приобретение товаров и услуг ЧСЦБ-000091 от 06.02.2024 9:18:22</t>
  </si>
  <si>
    <t>Приобретение товаров и услуг ЧСЦБ-000092 от 06.02.2024 9:21:56</t>
  </si>
  <si>
    <t>Приобретение товаров и услуг ЧСЦБ-000093 от 06.02.2024 9:36:20</t>
  </si>
  <si>
    <t>Приобретение товаров и услуг ЧСЦБ-000094 от 06.02.2024 9:39:40</t>
  </si>
  <si>
    <t>003.021304 Быстроразъемное соединение "папа", 1/4", внутренняя резьба</t>
  </si>
  <si>
    <t>Приобретение товаров и услуг ЧСЦБ-000095 от 06.02.2024 11:02:12</t>
  </si>
  <si>
    <t>22-019SG Держатель форсунки, зеленый</t>
  </si>
  <si>
    <t>005.020030 Форсунка 1/4", 00-030</t>
  </si>
  <si>
    <t>615 10 Форсунка для ополаскивания</t>
  </si>
  <si>
    <t>005.020020 Форсунка 1/4", 00-020</t>
  </si>
  <si>
    <t>Фиксатор резьбы MANNOL 9925 Fix-Gewinde Mittelfest 50 мл 5681</t>
  </si>
  <si>
    <t>614 90 Форсунка</t>
  </si>
  <si>
    <t>003.021404 Быстроразъемное соединение "папа" 1/4" наружная резьба, 350 бар</t>
  </si>
  <si>
    <t>Приобретение товаров и услуг ЧСЦБ-000104 от 07.02.2024 9:13:39</t>
  </si>
  <si>
    <t>20-400053.5 Дозатор G5 (общий)</t>
  </si>
  <si>
    <t>Приобретение товаров и услуг ЧСЦБ-000105 от 07.02.2024 9:17:35</t>
  </si>
  <si>
    <t>Приобретение товаров и услуг ЧСЦБ-000108 от 08.02.2024 9:03:05</t>
  </si>
  <si>
    <t>Рукав для пищевой промышленности, синий 5м, 1/2AGR - 1/2AGR IPL (05.02.24)</t>
  </si>
  <si>
    <t>Держатель для шланга</t>
  </si>
  <si>
    <t>Приобретение товаров и услуг ЧСЦБ-000109 от 08.02.2024 9:05:37</t>
  </si>
  <si>
    <t>Рукав для пищевой промышленности, синий 20 м, 1/2AGR - 1/2AGR IPL (05.02.24)</t>
  </si>
  <si>
    <t>Приобретение товаров и услуг ЧСЦБ-000110 от 08.02.2024 9:07:48</t>
  </si>
  <si>
    <t>Приобретение товаров и услуг ЧСЦБ-000111 от 08.02.2024 10:03:19</t>
  </si>
  <si>
    <t>Сателлитная станция ЧСТ 1 FD S (T2,SC,G1+N) (05.10.23)</t>
  </si>
  <si>
    <t>Приобретение товаров и услуг ЧСЦБ-000117 от 08.02.2024 14:09:40</t>
  </si>
  <si>
    <t>Приобретение товаров и услуг ЧСЦБ-000119 от 08.02.2024 18:17:55</t>
  </si>
  <si>
    <t>PZP1520M Пакет с защелкой (грипперы) ПВД 150 х 200мм, 100 штук в упаковке Masterbag/20/10</t>
  </si>
  <si>
    <t>Приобретение товаров и услуг ЧСЦБ-000120 от 12.02.2024 9:12:10</t>
  </si>
  <si>
    <t>Рукав для пищевой промышленности, синий 2,5 м, 1/2AGR - 1/2DKR IPL (08.02.24)</t>
  </si>
  <si>
    <t>Приобретение товаров и услуг ЧСЦБ-000121 от 12.02.2024 9:15:47</t>
  </si>
  <si>
    <t>Рукав для пищевой промышленности, синий 20 м, 1/2 AGR - 1/2 AGR нерж. (общий)</t>
  </si>
  <si>
    <t>Приобретение товаров и услуг ЧСЦБ-000122 от 12.02.2024 9:19:49</t>
  </si>
  <si>
    <t>Пружина сжатия L10,5 мм ф 0,5 мм нерж (для клапана 20-200025)</t>
  </si>
  <si>
    <t>Приобретение товаров и услуг ЧСЦБ-000123 от 12.02.2024 9:32:03</t>
  </si>
  <si>
    <t>Рукав ПВХ 6*11 (прозрачный) в комплекте с пластиковым фильтром-заборником</t>
  </si>
  <si>
    <t>Приобретение товаров и услуг ЧСЦБ-000126 от 13.02.2024 9:12:38</t>
  </si>
  <si>
    <t>Приобретение товаров и услуг ЧСЦБ-000127 от 13.02.2024 9:15:38</t>
  </si>
  <si>
    <t>Установка ультрафиолетовая бактерицидная УФБО РВБ-02/95ПН (нерж., IP54)</t>
  </si>
  <si>
    <t>Приобретение товаров и услуг ЧСЦБ-000128 от 13.02.2024 9:17:30</t>
  </si>
  <si>
    <t>Рукав для пищевой промышленности, синий 25 м, 1/2 AGR - 1/2 AGR нерж. (05.02.24)</t>
  </si>
  <si>
    <t>Приобретение товаров и услуг ЧСЦБ-000129 от 13.02.2024 9:21:56</t>
  </si>
  <si>
    <t>Дозатор автоматический для дез. средств 1200мл Ksitex ADD-7960S</t>
  </si>
  <si>
    <t>Приобретение товаров и услуг ЧСЦБ-000130 от 13.02.2024 9:23:43</t>
  </si>
  <si>
    <t>Установка ультрафиолетовая бактерицидная УФБО ОБН-02х30 (нерж.,IP54)</t>
  </si>
  <si>
    <t>Приобретение товаров и услуг ЧСЦБ-000131 от 13.02.2024 9:26:53</t>
  </si>
  <si>
    <t>Многоступенчатый насос CDLF 90-40, 30 кВт</t>
  </si>
  <si>
    <t>Приобретение товаров и услуг ЧСЦБ-000134 от 14.02.2024 9:10:37</t>
  </si>
  <si>
    <t>BOA4X4881 Клеевые пластины серые для мухоловки Chameleon 4*4, 1х6</t>
  </si>
  <si>
    <t>Приобретение товаров и услуг ЧСЦБ-000135 от 14.02.2024 9:14:22</t>
  </si>
  <si>
    <t>502 801 291 530 копье 700 мм с форсункой для ополаскивания 30л/мин зеленая</t>
  </si>
  <si>
    <t>Рукав для пищевой промышленности, синий 30 м, 1/2 AGR - 1/2 AGR нерж. (27.10.23)</t>
  </si>
  <si>
    <t>Приобретение товаров и услуг ЧСЦБ-000136 от 14.02.2024 9:16:48</t>
  </si>
  <si>
    <t>Приобретение товаров и услуг ЧСЦБ-000138 от 15.02.2024 9:25:07</t>
  </si>
  <si>
    <t>P-HRS-4 Поворотный кронштейн к барабану 25 м</t>
  </si>
  <si>
    <t>924S-25B Барабан с поворотным соединением для рукава 1/2"</t>
  </si>
  <si>
    <t>Приобретение товаров и услуг ЧСЦБ-000139 от 15.02.2024 9:29:22</t>
  </si>
  <si>
    <t>Приобретение товаров и услуг ЧСЦБ-000140 от 15.02.2024 9:36:05</t>
  </si>
  <si>
    <t>Моющая голова MP 200-4-1.0-360°-316LSS-3/4"BSPP</t>
  </si>
  <si>
    <t>Перепускной клапан VB-350</t>
  </si>
  <si>
    <t>Плунжерный насос DSG3025-N24</t>
  </si>
  <si>
    <t>Приобретение товаров и услуг ЧСЦБ-000141 от 15.02.2024 9:37:44</t>
  </si>
  <si>
    <t>Приобретение товаров и услуг ЧСЦБ-000142 от 15.02.2024 9:39:38</t>
  </si>
  <si>
    <t>Приобретение товаров и услуг ЧСЦБ-000143 от 15.02.2024 9:41:21</t>
  </si>
  <si>
    <t>Приобретение товаров и услуг ЧСЦБ-000144 от 15.02.2024 9:51:01</t>
  </si>
  <si>
    <t>Возвратная пружина к барабану 924S-25B</t>
  </si>
  <si>
    <t>Приобретение товаров и услуг ЧСЦБ-000145 от 15.02.2024 9:59:52</t>
  </si>
  <si>
    <t>Манометр М043-Р10</t>
  </si>
  <si>
    <t>20-300080.5 Регулятор давления воздуха (общая)</t>
  </si>
  <si>
    <t>20-000801.5 Ремкомплект пневматического клапана (общая)</t>
  </si>
  <si>
    <t>20-305000.5 Селектор режимов (Пневматического сателлита)</t>
  </si>
  <si>
    <t>20-900080.5 Ремкомплект дозатора G5 (SC) (Viton) (общая)</t>
  </si>
  <si>
    <t>20-000830.5 Пневматический клапан (общая)</t>
  </si>
  <si>
    <t>Приобретение товаров и услуг ЧСЦБ-000146 от 15.02.2024 10:02:59</t>
  </si>
  <si>
    <t>Дозатор для жидкого мыла 800мл Ksitex SD-2628-800 М (дозатор для мыла,нерж)</t>
  </si>
  <si>
    <t>Приобретение товаров и услуг ЧСЦБ-000149 от 16.02.2024 9:06:18</t>
  </si>
  <si>
    <t>Приобретение товаров и услуг ЧСЦБ-000150 от 16.02.2024 9:08:25</t>
  </si>
  <si>
    <t>Приобретение товаров и услуг ЧСЦБ-000151 от 16.02.2024 9:11:11</t>
  </si>
  <si>
    <t>924S-30B Барабан с поворотным соединением для рукава 1/2"</t>
  </si>
  <si>
    <t>Приобретение товаров и услуг ЧСЦБ-000152 от 16.02.2024 9:13:11</t>
  </si>
  <si>
    <t>TUB14W471 Ультрафиолетовая лампа для устройства для отлова насекомых 14W 21"</t>
  </si>
  <si>
    <t>Приобретение товаров и услуг ЧСЦБ-000153 от 16.02.2024 9:15:33</t>
  </si>
  <si>
    <t>Приобретение товаров и услуг ЧСЦБ-000154 от 16.02.2024 9:19:16</t>
  </si>
  <si>
    <t>Рукав для пищевой промышленности, синий 25 м, 1/2 IGR - 1/2 AGR нерж.</t>
  </si>
  <si>
    <t>Приобретение товаров и услуг ЧСЦБ-000155 от 16.02.2024 9:21:54</t>
  </si>
  <si>
    <t>Приобретение товаров и услуг ЧСЦБ-000156 от 16.02.2024 9:24:50</t>
  </si>
  <si>
    <t>Рукав для пищевой промышленности, синий 25 м, 1/2AGR - 1/2AGR нерж. (общий)</t>
  </si>
  <si>
    <t>Приобретение товаров и услуг ЧСЦБ-000158 от 16.02.2024 11:30:24</t>
  </si>
  <si>
    <t>Станция смешения химии ЧСТ 5 (F) EP</t>
  </si>
  <si>
    <t>Приобретение товаров и услуг ЧСЦБ-000167 от 19.02.2024 9:17:53</t>
  </si>
  <si>
    <t>Приобретение товаров и услуг ЧСЦБ-000168 от 19.02.2024 9:32:02</t>
  </si>
  <si>
    <t>Рукав для пищевой промышленности, синий 2,5 м 1/2 AGR - 1/2 AGR нерж. (без защиты от изгибов) (08.02</t>
  </si>
  <si>
    <t>Приобретение товаров и услуг ЧСЦБ-000169 от 19.02.2024 9:34:01</t>
  </si>
  <si>
    <t>Приобретение товаров и услуг ЧСЦБ-000170 от 19.02.2024 9:35:51</t>
  </si>
  <si>
    <t>Рукав для пищевой промышленности, синий 30 м, 1/2 AGR - 1/2 AGR нерж. (общий)</t>
  </si>
  <si>
    <t>Приобретение товаров и услуг ЧСЦБ-000171 от 19.02.2024 9:37:25</t>
  </si>
  <si>
    <t>20-200200.5 Обратный клапан 1.1/2" (общая)</t>
  </si>
  <si>
    <t>Приобретение товаров и услуг ЧСЦБ-000172 от 19.02.2024 9:39:09</t>
  </si>
  <si>
    <t>Приобретение товаров и услуг ЧСЦБ-000173 от 19.02.2024 9:40:29</t>
  </si>
  <si>
    <t>Приобретение товаров и услуг ЧСЦБ-000178 от 20.02.2024 9:30:44</t>
  </si>
  <si>
    <t>Приобретение товаров и услуг ЧСЦБ-000179 от 20.02.2024 9:33:39</t>
  </si>
  <si>
    <t>Приобретение товаров и услуг ЧСЦБ-000180 от 20.02.2024 9:39:47</t>
  </si>
  <si>
    <t>P-HRS-1 Поворотный кронштейн к барабану 15 м</t>
  </si>
  <si>
    <t>Приобретение товаров и услуг ЧСЦБ-000181 от 20.02.2024 9:43:59</t>
  </si>
  <si>
    <t>Рукав для пищевой промышленности, синий 30 м, 1/2 IGR - 1/2 AGR нерж. (общий)</t>
  </si>
  <si>
    <t>Приобретение товаров и услуг ЧСЦБ-000182 от 20.02.2024 9:46:15</t>
  </si>
  <si>
    <t>Приобретение товаров и услуг ЧСЦБ-000184 от 21.02.2024 9:18:01</t>
  </si>
  <si>
    <t>LENOVO IdeaPad 3 /i5-1335U/15.6 FHD IPS 300 nits AG/ lris Xe/8GB 512GB/ DOS/ noODD/Arctic Grey Китай</t>
  </si>
  <si>
    <t>Гарнитура /981-000350/ Headset Logitech H150 Stereo Coconut</t>
  </si>
  <si>
    <t>Мышь беспроводная Defender Vitrual MB-635 черн. оптическая 4D 1600dpi бесшумн. BT+2,4G</t>
  </si>
  <si>
    <t>Кабель-адаптер 5bites UA3-45-01BK 1 X RJ45</t>
  </si>
  <si>
    <t>Приобретение товаров и услуг ЧСЦБ-000185 от 21.02.2024 9:23:27</t>
  </si>
  <si>
    <t>20-200411.5 Ремкомплект обратного клапан 1/2" (общий)</t>
  </si>
  <si>
    <t>Приобретение товаров и услуг ЧСЦБ-000186 от 21.02.2024 9:27:18</t>
  </si>
  <si>
    <t>Приобретение товаров и услуг ЧСЦБ-000189 от 22.02.2024 9:25:43</t>
  </si>
  <si>
    <t>Совок ручной средний 1 л, оранжевый цвет арт. 56757</t>
  </si>
  <si>
    <t>Корзина Tork для мусора 50л, цв. белый, 563000-38</t>
  </si>
  <si>
    <t>Ручной скребок универсальный,165 мм, белый цвет, арт. 40515</t>
  </si>
  <si>
    <t>Ведро 12л (черный цвет), арт.56869</t>
  </si>
  <si>
    <t>Крышка для ведра, (черный цвет), арт. 56879</t>
  </si>
  <si>
    <t>Крышка для ведра,  (оранжевый цвет ), арт. 56877</t>
  </si>
  <si>
    <t>Крышка для ведра, белый цвет, арт. 56875</t>
  </si>
  <si>
    <t>Крышка для ведра (зеленый цвет) арт. 56872</t>
  </si>
  <si>
    <t>Приобретение товаров и услуг ЧСЦБ-000190 от 22.02.2024 9:28:04</t>
  </si>
  <si>
    <t>Круглый ковш 1 л, оранжевый цвет арт. 56817</t>
  </si>
  <si>
    <t>Приобретение товаров и услуг ЧСЦБ-000191 от 22.02.2024 9:29:58</t>
  </si>
  <si>
    <t>Средство моющее техническое "Нависан" дезинфицирующее марки М1, 10л</t>
  </si>
  <si>
    <t>Приобретение товаров и услуг ЧСЦБ-000192 от 22.02.2024 9:32:00</t>
  </si>
  <si>
    <t>Средство моющее техническое "Нависан АС"  кан 20л. новая</t>
  </si>
  <si>
    <t>Приобретение товаров и услуг ЧСЦБ-000206 от 26.02.2024 9:09:35</t>
  </si>
  <si>
    <t>Приобретение товаров и услуг ЧСЦБ-000216 от 27.02.2024 9:18:06</t>
  </si>
  <si>
    <t>Приобретение товаров и услуг ЧСЦБ-000217 от 27.02.2024 9:20:25</t>
  </si>
  <si>
    <t>Приобретение товаров и услуг ЧСЦБ-000218 от 27.02.2024 9:24:08</t>
  </si>
  <si>
    <t>Форсунка для ополаскивания угол распыла 0 град, давление 20 бар, расход 30л/мин в сборе с держателем</t>
  </si>
  <si>
    <t>Форсунка 25080 арт. M-61800</t>
  </si>
  <si>
    <t>Приобретение товаров и услуг ЧСЦБ-000219 от 27.02.2024 9:28:49</t>
  </si>
  <si>
    <t>Приобретение товаров и услуг ЧСЦБ-000220 от 27.02.2024 9:32:05</t>
  </si>
  <si>
    <t>Дозатор локтевой ДЛ-1 ТУ BY 290670262.023-2014</t>
  </si>
  <si>
    <t>Приобретение товаров и услуг ЧСЦБ-000224 от 28.02.2024 9:17:27</t>
  </si>
  <si>
    <t>110003276.5 Комплект уплотнений для сателлитной станции SD  (общий)</t>
  </si>
  <si>
    <t>Приобретение товаров и услуг ЧСЦБ-000225 от 28.02.2024 9:24:49</t>
  </si>
  <si>
    <t>05-010040.5 Пневматический узел S2 (общая)</t>
  </si>
  <si>
    <t>Приобретение товаров и услуг ЧСЦБ-000226 от 28.02.2024 9:30:39</t>
  </si>
  <si>
    <t>Приобретение товаров и услуг ЧСЦБ-000227 от 28.02.2024 9:32:47</t>
  </si>
  <si>
    <t>Приобретение товаров и услуг ЧСЦБ-000228 от 28.02.2024 9:34:59</t>
  </si>
  <si>
    <t>303 60 Foodjet рукав промышленный 80 бар синий DN 12</t>
  </si>
  <si>
    <t>Приобретение товаров и услуг ЧСЦБ-000231 от 29.02.2024 8:57:30</t>
  </si>
  <si>
    <t>Сателлитная станция ЧСТ 1 FD S (T2,SC,G1+N)</t>
  </si>
  <si>
    <t>Приобретение товаров и услуг ЧСЦБ-000232 от 29.02.2024 9:00:34</t>
  </si>
  <si>
    <t>Приобретение товаров и услуг ЧСЦБ-000233 от 29.02.2024 9:08:07</t>
  </si>
  <si>
    <t>Рукав для пищевой промышленности, синий 35 м, 1/2 IGR - 1/2 AGR нерж. (27.02.24)</t>
  </si>
  <si>
    <t>Отвод DN015  1/2" М(НP) - F(BP)  AISI 316 90гр</t>
  </si>
  <si>
    <t>Ниппель двухсторонний с гайкой DN015-0"1/2  М-М AISI 316/1.4401</t>
  </si>
  <si>
    <t>Рукав для пищевой промышленности, синий 25 м, 1/2 AGR - 1/2 IGR нерж (общий)</t>
  </si>
  <si>
    <t>Приобретение товаров и услуг ЧСЦБ-000234 от 29.02.2024 9:13:38</t>
  </si>
  <si>
    <t>Кран шаровый DN015-0"1/2 F-F 2PCS PN63-64 AISI 316/1.4401</t>
  </si>
  <si>
    <t>Приобретение товаров и услуг ЧСЦБ-000235 от 29.02.2024 9:16:57</t>
  </si>
  <si>
    <t>Приобретение товаров и услуг ЧСЦБ-000236 от 29.02.2024 9:18:34</t>
  </si>
  <si>
    <t>HV-2BP Шаровый кран с защитой из ПВХ</t>
  </si>
  <si>
    <t>Приобретение товаров и услуг ЧСЦБ-000238 от 01.03.2024 8:57:33</t>
  </si>
  <si>
    <t>Приобретение товаров и услуг ЧСЦБ-000239 от 01.03.2024 9:04:53</t>
  </si>
  <si>
    <t>Торцевое уплотнение к многоступенчатым насосам, арт. QYGF-16V/T (CDLF 8-20, 15-14, 15-17)</t>
  </si>
  <si>
    <t>Приобретение товаров и услуг ЧСЦБ-000240 от 04.03.2024 9:35:43</t>
  </si>
  <si>
    <t>10-000016.5 Подставка под две канистры на 20л (общая)</t>
  </si>
  <si>
    <t>Сателлитная станция ЧСТ 1 FD S (T1,MF,G1 +N)</t>
  </si>
  <si>
    <t>Рукав для пищевой промышленности, синий 2,5 м 1/2 AGR - 1/2 AGR нерж. (без защиты от изгибов) (общая</t>
  </si>
  <si>
    <t>Приобретение товаров и услуг ЧСЦБ-000241 от 04.03.2024 9:39:43</t>
  </si>
  <si>
    <t>Клапан 6580 6-VNR</t>
  </si>
  <si>
    <t>20-900004.5 Рем. комплект для обратного клапана (общая)</t>
  </si>
  <si>
    <t>20-200110.5 Обратный клапан химии (общая)</t>
  </si>
  <si>
    <t>Приобретение товаров и услуг ЧСЦБ-000242 от 04.03.2024 9:42:14</t>
  </si>
  <si>
    <t>Многоступенчатый насос CDLF 3-33, 3 кВт</t>
  </si>
  <si>
    <t>Приобретение товаров и услуг ЧСЦБ-000243 от 04.03.2024 9:46:53</t>
  </si>
  <si>
    <t>Приобретение товаров и услуг ЧСЦБ-000244 от 04.03.2024 9:49:16</t>
  </si>
  <si>
    <t>Приобретение товаров и услуг ЧСЦБ-000247 от 05.03.2024 9:12:12</t>
  </si>
  <si>
    <t>Центральная насосная станция ЧСТ 5 Е FD S (SC, G5) (в корпусе, навесная)</t>
  </si>
  <si>
    <t>Приобретение товаров и услуг ЧСЦБ-000248 от 05.03.2024 9:15:24</t>
  </si>
  <si>
    <t>Приобретение товаров и услуг ЧСЦБ-000250 от 06.03.2024 8:59:51</t>
  </si>
  <si>
    <t>Приобретение товаров и услуг ЧСЦБ-000258 от 07.03.2024 9:15:32</t>
  </si>
  <si>
    <t>10-000015.5 Подставка под одну канистру на 20л.</t>
  </si>
  <si>
    <t>Приобретение товаров и услуг ЧСЦБ-000259 от 07.03.2024 9:24:03</t>
  </si>
  <si>
    <t>21-000023.5 Реле потока 1 1/2" (общая)</t>
  </si>
  <si>
    <t>Приобретение товаров и услуг ЧСЦБ-000260 от 07.03.2024 9:36:42</t>
  </si>
  <si>
    <t>Приобретение товаров и услуг ЧСЦБ-000261 от 07.03.2024 10:00:58</t>
  </si>
  <si>
    <t>Пружина сжатия L 22  мм ф 1 мм ст. нерж</t>
  </si>
  <si>
    <t>Приобретение товаров и услуг ЧСЦБ-000262 от 07.03.2024 10:05:01</t>
  </si>
  <si>
    <t>Индикаторные полоски "НУК-1000 мг" 100шт/уп</t>
  </si>
  <si>
    <t>Приобретение товаров и услуг ЧСЦБ-000263 от 07.03.2024 10:15:58</t>
  </si>
  <si>
    <t>Клапан отсечной пневматический ATRIX AS 16 DN 1/2 Pn 16 резьбовой</t>
  </si>
  <si>
    <t>Фитинг S6520 6-1/8</t>
  </si>
  <si>
    <t>Клапан 338-035</t>
  </si>
  <si>
    <t>Трубка TPU 6/4 B</t>
  </si>
  <si>
    <t>Клапан обратный Y-образный DN015 0"1/2 F-F AISI 316/1.4401</t>
  </si>
  <si>
    <t>Фитинг 7540 6</t>
  </si>
  <si>
    <t>Ниппель двухсторонний с гайкой DN015-0"1/2  М-М AISI 304/1.4301</t>
  </si>
  <si>
    <t>Фитинг 7560 6</t>
  </si>
  <si>
    <t>Приобретение товаров и услуг ЧСЦБ-000270 от 07.03.2024 10:30:00</t>
  </si>
  <si>
    <t>ПЭВМ "BVK"  - WORK</t>
  </si>
  <si>
    <t>Приобретение товаров и услуг ЧСЦБ-000265 от 12.03.2024 9:41:07</t>
  </si>
  <si>
    <t>Лампа бактерицидная LightBest 700709012 LBCQ 55W 2G11</t>
  </si>
  <si>
    <t>Приобретение товаров и услуг ЧСЦБ-000266 от 12.03.2024 9:45:54</t>
  </si>
  <si>
    <t>Насосный модуль с частотным преобразователем для насосной станции, без нерж. кожуха</t>
  </si>
  <si>
    <t>Приобретение товаров и услуг ЧСЦБ-000267 от 12.03.2024 9:47:54</t>
  </si>
  <si>
    <t>750160 Торк Адв. бумажные покрытия на унитаз, 250шт</t>
  </si>
  <si>
    <t>Приобретение товаров и услуг ЧСЦБ-000268 от 12.03.2024 9:52:19</t>
  </si>
  <si>
    <t>203 100 260 (CH) кран запорный (11.10.23)</t>
  </si>
  <si>
    <t>Пластиковая защита, белая</t>
  </si>
  <si>
    <t>22-019SY Держатель форсунки, желтый</t>
  </si>
  <si>
    <t>Приобретение товаров и услуг ЧСЦБ-000269 от 12.03.2024 9:54:17</t>
  </si>
  <si>
    <t>Приобретение товаров и услуг ЧСЦБ-000275 от 13.03.2024 9:13:53</t>
  </si>
  <si>
    <t>CHA1X2004 Устройство для отлова насекомых CHAMELEON 1x 2</t>
  </si>
  <si>
    <t>Приобретение товаров и услуг ЧСЦБ-000276 от 13.03.2024 9:23:27</t>
  </si>
  <si>
    <t>Рукав для пищевой промышленности, синий 25 м, 1/2 AGR - 1/2 AGR нерж (общий)</t>
  </si>
  <si>
    <t>Приобретение товаров и услуг ЧСЦБ-000277 от 13.03.2024 9:30:41</t>
  </si>
  <si>
    <t>Рукав для пищевой промышленности, синий 2,5 м, 1/2 AGR - 1/2 AGR нерж. (общая)</t>
  </si>
  <si>
    <t>Приобретение товаров и услуг ЧСЦБ-000278 от 13.03.2024 9:34:25</t>
  </si>
  <si>
    <t>Рукав для пищевой промышленности, синий 2,5 м, 1/2 AGR - 1/2 AGR нерж. (08.12.23)</t>
  </si>
  <si>
    <t>Приобретение товаров и услуг ЧСЦБ-000284 от 14.03.2024 9:26:58</t>
  </si>
  <si>
    <t>Лампа ультрафиолетовая ФОРМУЛА СВЕТА FGSL30000101285 ЛCТ 18/20W УФ-A(UV-A/BL368) T8 G13=589.8mm</t>
  </si>
  <si>
    <t>Приобретение товаров и услуг ЧСЦБ-000285 от 14.03.2024 9:31:14</t>
  </si>
  <si>
    <t>Рукав для пищевой промышленности, синий 10 м, 1/2 AGR - 1/2 AGR нерж. (общая)</t>
  </si>
  <si>
    <t>Приобретение товаров и услуг ЧСЦБ-000286 от 14.03.2024 9:33:16</t>
  </si>
  <si>
    <t>Приобретение товаров и услуг ЧСЦБ-000288 от 14.03.2024 9:35:20</t>
  </si>
  <si>
    <t>Приобретение товаров и услуг ЧСЦБ-000289 от 14.03.2024 9:39:05</t>
  </si>
  <si>
    <t>8752 щетка для пола</t>
  </si>
  <si>
    <t>87137 рукоятка черная 1500мм 32/25мм 1,5мм</t>
  </si>
  <si>
    <t>FC88307 щетка овальная черная</t>
  </si>
  <si>
    <t>8786 стяжка д/пола черная, 60 см</t>
  </si>
  <si>
    <t>Приобретение товаров и услуг ЧСЦБ-000290 от 14.03.2024 9:41:29</t>
  </si>
  <si>
    <t>Установка ультрафиолетовая бактерицидная УФБО ОБН-04х25 (нерж. IP20 подвесная с БУ)</t>
  </si>
  <si>
    <t>Приобретение товаров и услуг ЧСЦБ-000291 от 14.03.2024 9:43:48</t>
  </si>
  <si>
    <t>20-900030.5 Ремкомплект обратного клапана химии (Viton) (общий)</t>
  </si>
  <si>
    <t>Приобретение товаров и услуг ЧСЦБ-000295 от 18.03.2024 9:18:57</t>
  </si>
  <si>
    <t>Монтажный комплект для воды (арт. 0010-02) (13.03.24)</t>
  </si>
  <si>
    <t>Приобретение товаров и услуг ЧСЦБ-000296 от 18.03.2024 9:35:33</t>
  </si>
  <si>
    <t>20-000283.5 Шаровый кран 1/2" с приводом (общая)</t>
  </si>
  <si>
    <t>20-305000.5 Селектор режимов (Пневматического сателлита) (11.10.23)</t>
  </si>
  <si>
    <t>55-200023.5 Всасывающий шланг 6x1500мм (белый) (общая)</t>
  </si>
  <si>
    <t>15-010162.5 Воздушный фитинг (угловой) (общая)</t>
  </si>
  <si>
    <t>Приобретение товаров и услуг ЧСЦБ-000297 от 18.03.2024 9:39:08</t>
  </si>
  <si>
    <t>Приобретение товаров и услуг ЧСЦБ-000298 от 18.03.2024 9:43:27</t>
  </si>
  <si>
    <t>502 807 153 0 форсунка для ополаскивания 30л/мин зеленая</t>
  </si>
  <si>
    <t>502 808 форсунка для нанесения пены</t>
  </si>
  <si>
    <t>Приобретение товаров и услуг ЧСЦБ-000299 от 18.03.2024 9:47:17</t>
  </si>
  <si>
    <t>20-400053.5 Дозатор G5</t>
  </si>
  <si>
    <t>Приобретение товаров и услуг ЧСЦБ-000300 от 18.03.2024 9:50:09</t>
  </si>
  <si>
    <t>Сателлитная станция ЧСТ 1 F S (Т2, SC, G5) (общий)</t>
  </si>
  <si>
    <t>202 725 550 пистолет высокого давления</t>
  </si>
  <si>
    <t>Приобретение товаров и услуг ЧСЦБ-000301 от 18.03.2024 9:52:25</t>
  </si>
  <si>
    <t>Приобретение товаров и услуг ЧСЦБ-000306 от 19.03.2024 10:05:29</t>
  </si>
  <si>
    <t>Центральная насосная станция ЧСТ 25-25 E (без корпуса, напольная)</t>
  </si>
  <si>
    <t>Приобретение товаров и услуг ЧСЦБ-000307 от 19.03.2024 10:08:55</t>
  </si>
  <si>
    <t>Приобретение товаров и услуг ЧСЦБ-000309 от 19.03.2024 11:34:02</t>
  </si>
  <si>
    <t>Приобретение товаров и услуг ЧСЦБ-000316 от 20.03.2024 9:15:06</t>
  </si>
  <si>
    <t>TIT300104 Устройство для отлова насекомых TITAN 300 (нержавейка)</t>
  </si>
  <si>
    <t>Приобретение товаров и услуг ЧСЦБ-000317 от 20.03.2024 9:19:13</t>
  </si>
  <si>
    <t>Приобретение товаров и услуг ЧСЦБ-000321 от 21.03.2024 9:11:57</t>
  </si>
  <si>
    <t>Сателлитная станция ЧСТ 1 FD S (Т2, SC, G1+N,3-8 бар) (19.03.24)</t>
  </si>
  <si>
    <t>Приобретение товаров и услуг ЧСЦБ-000322 от 21.03.2024 9:17:36</t>
  </si>
  <si>
    <t>Сателлитная станция ЧСТ 1 FD S (Т2, SC, G1+N) (общий)</t>
  </si>
  <si>
    <t>Приобретение товаров и услуг ЧСЦБ-000323 от 21.03.2024 9:19:25</t>
  </si>
  <si>
    <t>Приобретение товаров и услуг ЧСЦБ-000324 от 22.03.2024 9:30:13</t>
  </si>
  <si>
    <t>Приобретение товаров и услуг ЧСЦБ-000325 от 22.03.2024 9:34:37</t>
  </si>
  <si>
    <t>Сателлитная станция ЧСТ 1 FD S (T3,SC,G5) (общая)</t>
  </si>
  <si>
    <t>Рукав для пищевой промышленности, синий 2,5 м 1/2 AGR - 1/2 AGR нерж. (без защиты от изгибов) (общий</t>
  </si>
  <si>
    <t>Приобретение товаров и услуг ЧСЦБ-000326 от 22.03.2024 9:39:20</t>
  </si>
  <si>
    <t>Приобретение товаров и услуг ЧСЦБ-000327 от 22.03.2024 9:41:27</t>
  </si>
  <si>
    <t>Приобретение товаров и услуг ЧСЦБ-000328 от 22.03.2024 9:44:15</t>
  </si>
  <si>
    <t>Приобретение товаров и услуг ЧСЦБ-000329 от 22.03.2024 9:49:07</t>
  </si>
  <si>
    <t>005.026540 Форсунка 4л/мин 65 гр. 1/8</t>
  </si>
  <si>
    <t>20-200300.5 Обратный клапан 1.1/2" (общая)</t>
  </si>
  <si>
    <t>Приобретение товаров и услуг ЧСЦБ-000330 от 22.03.2024 10:10:22</t>
  </si>
  <si>
    <t>20-900090.5 Ремкомплект дозатора G5 (SC) (EPDM) (общая)</t>
  </si>
  <si>
    <t>27-200020.5 Водяная форсунка (общая)</t>
  </si>
  <si>
    <t>200 032 600 фильтр всасывающий</t>
  </si>
  <si>
    <t>О-Кольцо 9,92х2,62 NBR70 (К) (17-000132)</t>
  </si>
  <si>
    <t>О-кольцо 7,66х1,78 EPDM70 (17-000042)</t>
  </si>
  <si>
    <t>Приобретение товаров и услуг ЧСЦБ-000333 от 25.03.2024 9:11:54</t>
  </si>
  <si>
    <t>Приобретение товаров и услуг ЧСЦБ-000334 от 25.03.2024 9:17:39</t>
  </si>
  <si>
    <t>Рукав для пищевой промышленности, синий 30 м, 1/2 IGR - 1/2 AGR нерж.</t>
  </si>
  <si>
    <t>502 807 652 01 Насадка для дезинфектанта</t>
  </si>
  <si>
    <t>Приобретение товаров и услуг ЧСЦБ-000335 от 25.03.2024 9:19:48</t>
  </si>
  <si>
    <t>Приобретение товаров и услуг ЧСЦБ-000336 от 25.03.2024 9:23:39</t>
  </si>
  <si>
    <t>Приобретение товаров и услуг ЧСЦБ-000341 от 26.03.2024 9:49:52</t>
  </si>
  <si>
    <t>Ремкомплект для насосов DSG4020-N24</t>
  </si>
  <si>
    <t>Приобретение товаров и услуг ЧСЦБ-000342 от 26.03.2024 9:57:19</t>
  </si>
  <si>
    <t>Рукав для пищевой промышленности, синий 30 м, 1/2 AGR - 1/2 AGR нерж (общий)</t>
  </si>
  <si>
    <t>Приобретение товаров и услуг ЧСЦБ-000343 от 26.03.2024 10:12:53</t>
  </si>
  <si>
    <t>Пост стационарный на основе сателлитной станции ЧСТ 1 FD S (Т1, MF, G1+N) (21.03.24)</t>
  </si>
  <si>
    <t>Приобретение товаров и услуг ЧСЦБ-000344 от 26.03.2024 11:18:42</t>
  </si>
  <si>
    <t>Хомут ДИН 3017 А4 8-16/9 (100 шт.)</t>
  </si>
  <si>
    <t>Быстросъемное соединение "ПАПА", 1/4", внутренняя резьба</t>
  </si>
  <si>
    <t>Пружина сжатия L 13 мм ф 0,4 мм.</t>
  </si>
  <si>
    <t>О-Кольцо 3,80х1,4 NBR70</t>
  </si>
  <si>
    <t>Заглушка  с гайкой DN006-0" 1/8 М(НР)  AISI 316/1.4401</t>
  </si>
  <si>
    <t>Вставка (Инжектор)</t>
  </si>
  <si>
    <t>Вставка М10х1</t>
  </si>
  <si>
    <t>6.366-039.0 шнур</t>
  </si>
  <si>
    <t>7.367-009.0 радиальное уплотнение вала</t>
  </si>
  <si>
    <t>6.391-629.0 Рукав высокого давления DN 13</t>
  </si>
  <si>
    <t>4.553-197.0 поршень</t>
  </si>
  <si>
    <t>54410 AR2000-02 Регулятор давления воздуха 1/4"</t>
  </si>
  <si>
    <t>Инжектор microfoom</t>
  </si>
  <si>
    <t>Входной коллектор крана</t>
  </si>
  <si>
    <t>Гайка оси крана</t>
  </si>
  <si>
    <t>Заглушка  с гайкой DN010-0" 3/8 М(НР) AISI 316/1.4401</t>
  </si>
  <si>
    <t>Кран шаровый  NILE VA25 1/2" В/В ручка бабочка</t>
  </si>
  <si>
    <t>Корпус обратного клапана воздух 1/8-1/4 ВР-НР</t>
  </si>
  <si>
    <t>Шток обратного клапана воздуха</t>
  </si>
  <si>
    <t>О-кольцо 11.00х1.50 EPDM70</t>
  </si>
  <si>
    <t>О-Кольцо 3,00х1,5 NBR70</t>
  </si>
  <si>
    <t>Фиксатор пружины 1/8 под шестигранник</t>
  </si>
  <si>
    <t>Втулка</t>
  </si>
  <si>
    <t>Приобретение товаров и услуг ЧСЦБ-000345 от 26.03.2024 11:28:44</t>
  </si>
  <si>
    <t>Бутылка Флакон (с крышкой), объем 1 литр для МИД-02</t>
  </si>
  <si>
    <t>Насос-дозатор локтевой "МИД-02"</t>
  </si>
  <si>
    <t>Приобретение товаров и услуг ЧСЦБ-000354 от 27.03.2024 9:26:53</t>
  </si>
  <si>
    <t>Приобретение товаров и услуг ЧСЦБ-000364 от 28.03.2024 9:06:36</t>
  </si>
  <si>
    <t>Приобретение товаров и услуг ЧСЦБ-000365 от 28.03.2024 9:09:41</t>
  </si>
  <si>
    <t>Приобретение товаров и услуг ЧСЦБ-000366 от 28.03.2024 9:11:54</t>
  </si>
  <si>
    <t>203 100 260 (CH) кран запорный (общая)</t>
  </si>
  <si>
    <t>Приобретение товаров и услуг ЧСЦБ-000370 от 29.03.2024 8:54:39</t>
  </si>
  <si>
    <t>Приобретение товаров и услуг ЧСЦБ-000371 от 29.03.2024 9:23:03</t>
  </si>
  <si>
    <t>Приобретение товаров и услуг ЧСЦБ-000372 от 29.03.2024 9:25:57</t>
  </si>
  <si>
    <t>20-200025.5 Обратный клапан 1/4" (общая)</t>
  </si>
  <si>
    <t>20-305000.5 Селектор режимов (Пневматического сателлита) (общая)</t>
  </si>
  <si>
    <t>ТЕПЛОПРОФИ РУС ООО</t>
  </si>
  <si>
    <t>Приобретение товаров и услуг ЧСЦБ-000052 от 18.01.2024 23:59:59</t>
  </si>
  <si>
    <t>Многоступенчатый насос Wellmix CV 32- 5-2-HQCV</t>
  </si>
  <si>
    <t>ЧИСТО В ГОРОДЕ ООО</t>
  </si>
  <si>
    <t>Приобретение товаров и услуг ЧСЦБ-000107 от 05.02.2024 23:59:59</t>
  </si>
  <si>
    <t>Датчик давления для АВД (черный), 40bar, 2,5 МПА, 1/4 внеш PA</t>
  </si>
  <si>
    <t>ЭКСПЕРТ ИНЖИНИРИНГ ООО</t>
  </si>
  <si>
    <t>Приобретение товаров и услуг ЧСЦБ-000287 от 07.03.2024 23:59:59</t>
  </si>
  <si>
    <t>8079-PP-100-AD-SE Фильтр для составных форсунок TP, BJ, BJH, 100 mesh</t>
  </si>
  <si>
    <t>ЮВИЛАЙТ ООО</t>
  </si>
  <si>
    <t>Приобретение товаров и услуг ЧСЦБ-000183 от 15.02.2024 12:00:00</t>
  </si>
  <si>
    <t>700909005 Лампа инсектицидная в пленке в ловушки для насекомых LightBest BL10W T8 G13 355-385nmL=331</t>
  </si>
  <si>
    <t>700909013 Лампа инсектицидная в пленке в ловушки для насекомых LightBest BL40W T8 G13 355-385nmL=590</t>
  </si>
  <si>
    <t>700509006 Стартер LightBest S2 4-22W 220-240V медный контакт</t>
  </si>
  <si>
    <t>700909018 Лампа инсектицидная в пленке в ловушки для насекомых LightBest BL20W T8 G13 355-385nmL=579</t>
  </si>
  <si>
    <t>700509001 Стартер LightBest S10 4-65W 220-240V медный контакт</t>
  </si>
  <si>
    <t>700909019 Лампа инсектицидная в пленке в ловушки для насекомых LightBest BL20W T8 G13 355-385nmL=590</t>
  </si>
  <si>
    <t>ЮНИБРАЙТ РУС ООО</t>
  </si>
  <si>
    <t>Приобретение товаров и услуг ЧСЦБ-000176 от 19.02.2024 15:39:33</t>
  </si>
  <si>
    <t>Приобретение товаров и услуг ЧСЦБ-000245 от 04.03.2024 16:33:29</t>
  </si>
  <si>
    <t>Приобретение товаров и услуг ЧСЦБ-000246 от 04.03.2024 16:35:43</t>
  </si>
  <si>
    <t>Итого</t>
  </si>
  <si>
    <t>+</t>
  </si>
  <si>
    <t>Разовые закупки</t>
  </si>
  <si>
    <t>Закупки сервис</t>
  </si>
  <si>
    <t>Керхер РФ</t>
  </si>
  <si>
    <t>Сумма закупки в российских рублях с НДС</t>
  </si>
  <si>
    <t>ИТОГО закупки РФ-РФ, росс.руб. с НДС</t>
  </si>
  <si>
    <t>НОВЭЛХИМ</t>
  </si>
  <si>
    <t>КЕРХЕР</t>
  </si>
  <si>
    <t>КОМЕТА</t>
  </si>
  <si>
    <t>ГРЭНТ</t>
  </si>
  <si>
    <t>ХАССПЕР (СБС)</t>
  </si>
  <si>
    <t>ВЕЛЛ-ВЕ</t>
  </si>
  <si>
    <t>ПРОФКОНТРАКТ</t>
  </si>
  <si>
    <t>ХИМИТЭКС</t>
  </si>
  <si>
    <t>ПРОФСТРОЙ</t>
  </si>
  <si>
    <t>ЮНИБРАЙТ РУС</t>
  </si>
  <si>
    <t>СЕКО</t>
  </si>
  <si>
    <t>БЕЛЩЕТКА</t>
  </si>
  <si>
    <t>Остальное</t>
  </si>
  <si>
    <t>АВТОГРЕЙДЕР-СТЗ ООО</t>
  </si>
  <si>
    <t>АЙТЕК ООО</t>
  </si>
  <si>
    <t>АЛМАЗ ООО</t>
  </si>
  <si>
    <t>АНКАС ООО</t>
  </si>
  <si>
    <t>БИИКСДЖИ ООО</t>
  </si>
  <si>
    <t>ВРЕДИТЕЛЕЙ.НЕТ ООО</t>
  </si>
  <si>
    <t>ГИДРОАРСЕНАЛ ООО</t>
  </si>
  <si>
    <t>ДН.РУ ООО</t>
  </si>
  <si>
    <t>ЗЕТ-ТЕХНО ООО</t>
  </si>
  <si>
    <t>Касаткин Александр Викторович</t>
  </si>
  <si>
    <t>КИП СПБ ООО</t>
  </si>
  <si>
    <t>Козина Валентина Ивановна</t>
  </si>
  <si>
    <t>КОМПАНИЯ СИМКЛИН ПЛЮС ООО</t>
  </si>
  <si>
    <t>КОНТАКТПРО ООО</t>
  </si>
  <si>
    <t>КОРПОРАЦИЯ МЕТАЛЛИНВЕСТ ООО</t>
  </si>
  <si>
    <t>ЛОНГ ТАЙМ ООО</t>
  </si>
  <si>
    <t>ООО АКВАСИЛА</t>
  </si>
  <si>
    <t>ПЕСТКОНТРОЛГРУПП ООО</t>
  </si>
  <si>
    <t>ПРОКОНСИМ ЗАО ФИРМА</t>
  </si>
  <si>
    <t>РАНТАЙМ СИСТЕМС ООО</t>
  </si>
  <si>
    <t>САМОДЕЛКИН ООО</t>
  </si>
  <si>
    <t>УФ ПРО ООО</t>
  </si>
  <si>
    <t>ЧИСТЫЕ ТЕХНОЛОГИИ ООО</t>
  </si>
  <si>
    <t>ЭЛЕКТРОПОСТАВЩИК ООО</t>
  </si>
  <si>
    <t>4-ый квартал</t>
  </si>
  <si>
    <t>4-ый квартал 2023</t>
  </si>
  <si>
    <t>1-ый квартал 2024</t>
  </si>
  <si>
    <t>1-ый квартал 2024 года, сумма закупки в российских рублях с НДС</t>
  </si>
  <si>
    <t>4-ый квартал 2023 года, сумма закупки в российских рублях с НДС</t>
  </si>
  <si>
    <t>Динамика 2024 года (1-ый квартал) к 2023 году (4-ый квартал), росс.руб. с НДС</t>
  </si>
  <si>
    <t>Динамика 2024 года (1-ый квартал) к 2023 году (4-ый квартал), %</t>
  </si>
  <si>
    <t>%</t>
  </si>
  <si>
    <t>Поставщики Китай</t>
  </si>
  <si>
    <t>Остатки по себестоимости 30.06.2024, бел.руб. без НДС</t>
  </si>
  <si>
    <t>Pest West</t>
  </si>
  <si>
    <t>Собственные продукты</t>
  </si>
  <si>
    <t>Производство + ВЕЛДМЕТ ООО</t>
  </si>
  <si>
    <t>Разница 31.03.2024 к 30.06.2024, бел.руб. без НДС</t>
  </si>
  <si>
    <t>Разница 31.03.2024 к 30.06.2024, %</t>
  </si>
  <si>
    <t>Апрель 2024</t>
  </si>
  <si>
    <t>Май 2024</t>
  </si>
  <si>
    <t>Июнь 2024</t>
  </si>
  <si>
    <t>продано Керхер РФ с 21.06.</t>
  </si>
  <si>
    <t>росс.руб</t>
  </si>
  <si>
    <t>евро</t>
  </si>
  <si>
    <t>М.насосы</t>
  </si>
  <si>
    <t>юани</t>
  </si>
  <si>
    <t>П.насосы</t>
  </si>
  <si>
    <t>Головы</t>
  </si>
  <si>
    <t>Р+М</t>
  </si>
  <si>
    <t>ВДМ</t>
  </si>
  <si>
    <t>ИПЛ</t>
  </si>
  <si>
    <t>Пест Вест</t>
  </si>
  <si>
    <t>злоты</t>
  </si>
  <si>
    <t>Систем</t>
  </si>
  <si>
    <t>Шаровые для производства</t>
  </si>
  <si>
    <t>Рукава китай</t>
  </si>
  <si>
    <t>Алион</t>
  </si>
  <si>
    <t>Барабын</t>
  </si>
  <si>
    <t>Сумма закупки</t>
  </si>
  <si>
    <t>Валюта</t>
  </si>
  <si>
    <t>доллар на 10.07.</t>
  </si>
  <si>
    <t>евро на 10.07.</t>
  </si>
  <si>
    <t>росс.руб. на 10.07.</t>
  </si>
  <si>
    <t>юани на 10.07.</t>
  </si>
  <si>
    <t>злотые на 10.07.</t>
  </si>
  <si>
    <t>Таможня (ТП+НДС)</t>
  </si>
  <si>
    <t>Шаровые краны</t>
  </si>
  <si>
    <t>Сумма закупки, бел.руб.</t>
  </si>
  <si>
    <t>Таможня, бел.руб.</t>
  </si>
  <si>
    <t>Уже оплаченные заказы</t>
  </si>
  <si>
    <t>Заказы необходимо оплатить</t>
  </si>
  <si>
    <t>Задолженность Керхер РФ</t>
  </si>
  <si>
    <t>Уже оплачено + таможня</t>
  </si>
  <si>
    <t>Ещё необходимо + таможня</t>
  </si>
  <si>
    <t>ИТОГО, бел.руб.</t>
  </si>
  <si>
    <t>31.12.2023 остатки на складе по себестоимости, бел.руб. без НДС</t>
  </si>
  <si>
    <t>30.06.2024 остатки на складе по себестоимости, бел.руб. без НДС</t>
  </si>
  <si>
    <t>30.06.2023 остатки на складе по себестоимости, бел.руб. без НДС</t>
  </si>
  <si>
    <t>31.12.2022 остатки на складе по себестоимости, бел.руб. без НДС</t>
  </si>
  <si>
    <t>Данные</t>
  </si>
  <si>
    <t>Суммы</t>
  </si>
  <si>
    <t>февраль</t>
  </si>
  <si>
    <t>Увеличение остатов за 1-ое полугодие 2024 по себестоимости, бел.руб. без НДС</t>
  </si>
  <si>
    <t>Увеличение остатов за 1-ое полугодие 2024 по себестоимости, %</t>
  </si>
  <si>
    <t>март</t>
  </si>
  <si>
    <t>апрель</t>
  </si>
  <si>
    <t>май</t>
  </si>
  <si>
    <t>июнь</t>
  </si>
  <si>
    <t>январь</t>
  </si>
  <si>
    <t>декабрь</t>
  </si>
  <si>
    <t>Увеличение остатков 31.12.2022 - 30.06.2024 по себестоимости, бел.руб. без НДС</t>
  </si>
  <si>
    <t>ноябрь</t>
  </si>
  <si>
    <t>октябрь</t>
  </si>
  <si>
    <t>Увеличение остатков 31.12.2022 - 30.06.2024 по себестоимости, %</t>
  </si>
  <si>
    <t>сентябрь</t>
  </si>
  <si>
    <t>август</t>
  </si>
  <si>
    <t>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</si>
</sst>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"/>
    <numFmt numFmtId="165" formatCode="0.000"/>
    <numFmt numFmtId="166" formatCode="#,##0.0;[Red]\-#,##0.0"/>
    <numFmt numFmtId="167" formatCode="0.00;[Red]\-0.00"/>
    <numFmt numFmtId="168" formatCode="0.0"/>
    <numFmt numFmtId="169" formatCode="#,##0.000"/>
    <numFmt numFmtId="170" formatCode="0.0;[Red]\-0.0"/>
    <numFmt numFmtId="171" formatCode="0;[Red]\-0"/>
    <numFmt numFmtId="172" formatCode="#,##0_ ;[Red]\-#,##0\ "/>
    <numFmt numFmtId="173" formatCode="0.0%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name val="Arial"/>
    </font>
    <font>
      <sz val="10"/>
      <name val="Arial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15">
    <xf numFmtId="0" fontId="0" fillId="0" borderId="0" xfId="0"/>
    <xf numFmtId="1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0" borderId="0" xfId="0" applyNumberFormat="1"/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readingOrder="1"/>
    </xf>
    <xf numFmtId="0" fontId="2" fillId="0" borderId="0" xfId="0" applyFont="1" applyAlignment="1">
      <alignment horizontal="left" readingOrder="1"/>
    </xf>
    <xf numFmtId="164" fontId="0" fillId="0" borderId="0" xfId="0" applyNumberFormat="1" applyAlignment="1">
      <alignment horizontal="center" vertical="center"/>
    </xf>
    <xf numFmtId="10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3" fillId="0" borderId="0" xfId="1" applyAlignment="1">
      <alignment horizontal="left"/>
    </xf>
    <xf numFmtId="0" fontId="4" fillId="0" borderId="0" xfId="1" applyFont="1" applyAlignment="1">
      <alignment horizontal="left" vertical="top"/>
    </xf>
    <xf numFmtId="0" fontId="3" fillId="0" borderId="0" xfId="1"/>
    <xf numFmtId="0" fontId="4" fillId="2" borderId="1" xfId="1" applyFont="1" applyFill="1" applyBorder="1" applyAlignment="1">
      <alignment horizontal="left" vertical="top" wrapText="1"/>
    </xf>
    <xf numFmtId="165" fontId="3" fillId="3" borderId="1" xfId="1" applyNumberFormat="1" applyFill="1" applyBorder="1" applyAlignment="1">
      <alignment horizontal="right" vertical="top"/>
    </xf>
    <xf numFmtId="40" fontId="3" fillId="3" borderId="1" xfId="1" applyNumberFormat="1" applyFill="1" applyBorder="1" applyAlignment="1">
      <alignment horizontal="right" vertical="top"/>
    </xf>
    <xf numFmtId="4" fontId="3" fillId="3" borderId="1" xfId="1" applyNumberFormat="1" applyFill="1" applyBorder="1" applyAlignment="1">
      <alignment horizontal="right" vertical="top"/>
    </xf>
    <xf numFmtId="165" fontId="3" fillId="4" borderId="1" xfId="1" applyNumberFormat="1" applyFill="1" applyBorder="1" applyAlignment="1">
      <alignment horizontal="right" vertical="top"/>
    </xf>
    <xf numFmtId="40" fontId="3" fillId="4" borderId="1" xfId="1" applyNumberFormat="1" applyFill="1" applyBorder="1" applyAlignment="1">
      <alignment horizontal="right" vertical="top"/>
    </xf>
    <xf numFmtId="4" fontId="3" fillId="4" borderId="1" xfId="1" applyNumberFormat="1" applyFill="1" applyBorder="1" applyAlignment="1">
      <alignment horizontal="right" vertical="top"/>
    </xf>
    <xf numFmtId="0" fontId="3" fillId="0" borderId="1" xfId="1" applyBorder="1" applyAlignment="1">
      <alignment horizontal="left" vertical="top" wrapText="1"/>
    </xf>
    <xf numFmtId="165" fontId="3" fillId="0" borderId="1" xfId="1" applyNumberFormat="1" applyBorder="1" applyAlignment="1">
      <alignment horizontal="right" vertical="top"/>
    </xf>
    <xf numFmtId="40" fontId="3" fillId="0" borderId="1" xfId="1" applyNumberFormat="1" applyBorder="1" applyAlignment="1">
      <alignment horizontal="right" vertical="top" wrapText="1"/>
    </xf>
    <xf numFmtId="2" fontId="3" fillId="0" borderId="1" xfId="1" applyNumberFormat="1" applyBorder="1" applyAlignment="1">
      <alignment horizontal="right" vertical="top" wrapText="1"/>
    </xf>
    <xf numFmtId="4" fontId="3" fillId="0" borderId="1" xfId="1" applyNumberFormat="1" applyBorder="1" applyAlignment="1">
      <alignment horizontal="right" vertical="top" wrapText="1"/>
    </xf>
    <xf numFmtId="164" fontId="3" fillId="3" borderId="1" xfId="1" applyNumberFormat="1" applyFill="1" applyBorder="1" applyAlignment="1">
      <alignment horizontal="right" vertical="top"/>
    </xf>
    <xf numFmtId="38" fontId="3" fillId="4" borderId="1" xfId="1" applyNumberFormat="1" applyFill="1" applyBorder="1" applyAlignment="1">
      <alignment horizontal="right" vertical="top"/>
    </xf>
    <xf numFmtId="3" fontId="3" fillId="4" borderId="1" xfId="1" applyNumberFormat="1" applyFill="1" applyBorder="1" applyAlignment="1">
      <alignment horizontal="right" vertical="top"/>
    </xf>
    <xf numFmtId="38" fontId="3" fillId="3" borderId="1" xfId="1" applyNumberFormat="1" applyFill="1" applyBorder="1" applyAlignment="1">
      <alignment horizontal="right" vertical="top"/>
    </xf>
    <xf numFmtId="3" fontId="3" fillId="3" borderId="1" xfId="1" applyNumberFormat="1" applyFill="1" applyBorder="1" applyAlignment="1">
      <alignment horizontal="right" vertical="top"/>
    </xf>
    <xf numFmtId="166" fontId="3" fillId="3" borderId="1" xfId="1" applyNumberFormat="1" applyFill="1" applyBorder="1" applyAlignment="1">
      <alignment horizontal="right" vertical="top"/>
    </xf>
    <xf numFmtId="166" fontId="3" fillId="4" borderId="1" xfId="1" applyNumberFormat="1" applyFill="1" applyBorder="1" applyAlignment="1">
      <alignment horizontal="right" vertical="top"/>
    </xf>
    <xf numFmtId="164" fontId="3" fillId="4" borderId="1" xfId="1" applyNumberFormat="1" applyFill="1" applyBorder="1" applyAlignment="1">
      <alignment horizontal="right" vertical="top"/>
    </xf>
    <xf numFmtId="2" fontId="3" fillId="3" borderId="1" xfId="1" applyNumberFormat="1" applyFill="1" applyBorder="1" applyAlignment="1">
      <alignment horizontal="right" vertical="top"/>
    </xf>
    <xf numFmtId="167" fontId="3" fillId="4" borderId="1" xfId="1" applyNumberFormat="1" applyFill="1" applyBorder="1" applyAlignment="1">
      <alignment horizontal="right" vertical="top"/>
    </xf>
    <xf numFmtId="168" fontId="3" fillId="4" borderId="1" xfId="1" applyNumberFormat="1" applyFill="1" applyBorder="1" applyAlignment="1">
      <alignment horizontal="right" vertical="top"/>
    </xf>
    <xf numFmtId="167" fontId="3" fillId="0" borderId="1" xfId="1" applyNumberFormat="1" applyBorder="1" applyAlignment="1">
      <alignment horizontal="right" vertical="top" wrapText="1"/>
    </xf>
    <xf numFmtId="2" fontId="3" fillId="4" borderId="1" xfId="1" applyNumberFormat="1" applyFill="1" applyBorder="1" applyAlignment="1">
      <alignment horizontal="right" vertical="top"/>
    </xf>
    <xf numFmtId="1" fontId="3" fillId="4" borderId="1" xfId="1" applyNumberFormat="1" applyFill="1" applyBorder="1" applyAlignment="1">
      <alignment horizontal="right" vertical="top"/>
    </xf>
    <xf numFmtId="169" fontId="3" fillId="3" borderId="1" xfId="1" applyNumberFormat="1" applyFill="1" applyBorder="1" applyAlignment="1">
      <alignment horizontal="right" vertical="top"/>
    </xf>
    <xf numFmtId="0" fontId="3" fillId="4" borderId="1" xfId="1" applyFill="1" applyBorder="1" applyAlignment="1">
      <alignment horizontal="right" vertical="top"/>
    </xf>
    <xf numFmtId="0" fontId="3" fillId="0" borderId="1" xfId="1" applyBorder="1" applyAlignment="1">
      <alignment horizontal="right" vertical="top" wrapText="1"/>
    </xf>
    <xf numFmtId="0" fontId="3" fillId="3" borderId="1" xfId="1" applyFill="1" applyBorder="1" applyAlignment="1">
      <alignment horizontal="right" vertical="top"/>
    </xf>
    <xf numFmtId="170" fontId="3" fillId="4" borderId="1" xfId="1" applyNumberFormat="1" applyFill="1" applyBorder="1" applyAlignment="1">
      <alignment horizontal="right" vertical="top"/>
    </xf>
    <xf numFmtId="171" fontId="3" fillId="4" borderId="1" xfId="1" applyNumberFormat="1" applyFill="1" applyBorder="1" applyAlignment="1">
      <alignment horizontal="right" vertical="top"/>
    </xf>
    <xf numFmtId="169" fontId="3" fillId="4" borderId="1" xfId="1" applyNumberFormat="1" applyFill="1" applyBorder="1" applyAlignment="1">
      <alignment horizontal="right" vertical="top"/>
    </xf>
    <xf numFmtId="169" fontId="3" fillId="0" borderId="1" xfId="1" applyNumberFormat="1" applyBorder="1" applyAlignment="1">
      <alignment horizontal="right" vertical="top"/>
    </xf>
    <xf numFmtId="169" fontId="4" fillId="2" borderId="1" xfId="1" applyNumberFormat="1" applyFont="1" applyFill="1" applyBorder="1" applyAlignment="1">
      <alignment horizontal="right" vertical="top"/>
    </xf>
    <xf numFmtId="40" fontId="4" fillId="2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0" fontId="3" fillId="3" borderId="1" xfId="1" applyFill="1" applyBorder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4" fillId="2" borderId="2" xfId="1" applyFont="1" applyFill="1" applyBorder="1" applyAlignment="1">
      <alignment vertical="top" wrapText="1"/>
    </xf>
    <xf numFmtId="0" fontId="4" fillId="2" borderId="3" xfId="1" applyFont="1" applyFill="1" applyBorder="1" applyAlignment="1">
      <alignment vertical="top" wrapText="1"/>
    </xf>
    <xf numFmtId="0" fontId="4" fillId="2" borderId="4" xfId="1" applyFont="1" applyFill="1" applyBorder="1" applyAlignment="1">
      <alignment vertical="top" wrapText="1"/>
    </xf>
    <xf numFmtId="0" fontId="3" fillId="0" borderId="1" xfId="1" applyBorder="1" applyAlignment="1">
      <alignment horizontal="left"/>
    </xf>
    <xf numFmtId="0" fontId="3" fillId="3" borderId="0" xfId="1" applyFill="1" applyBorder="1" applyAlignment="1">
      <alignment vertical="top" wrapText="1"/>
    </xf>
    <xf numFmtId="40" fontId="3" fillId="3" borderId="0" xfId="1" applyNumberFormat="1" applyFill="1" applyBorder="1" applyAlignment="1">
      <alignment horizontal="right" vertical="top"/>
    </xf>
    <xf numFmtId="0" fontId="4" fillId="2" borderId="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9" fontId="3" fillId="3" borderId="1" xfId="1" applyNumberFormat="1" applyFill="1" applyBorder="1" applyAlignment="1">
      <alignment horizontal="center" vertical="center" wrapText="1"/>
    </xf>
    <xf numFmtId="0" fontId="5" fillId="0" borderId="0" xfId="2" applyAlignment="1">
      <alignment horizontal="left"/>
    </xf>
    <xf numFmtId="0" fontId="6" fillId="0" borderId="0" xfId="2" applyFont="1" applyAlignment="1">
      <alignment horizontal="left" vertical="top"/>
    </xf>
    <xf numFmtId="0" fontId="5" fillId="0" borderId="0" xfId="2"/>
    <xf numFmtId="40" fontId="5" fillId="3" borderId="1" xfId="2" applyNumberFormat="1" applyFill="1" applyBorder="1" applyAlignment="1">
      <alignment horizontal="right" vertical="top"/>
    </xf>
    <xf numFmtId="38" fontId="5" fillId="3" borderId="1" xfId="2" applyNumberFormat="1" applyFill="1" applyBorder="1" applyAlignment="1">
      <alignment horizontal="right" vertical="top"/>
    </xf>
    <xf numFmtId="3" fontId="5" fillId="3" borderId="1" xfId="2" applyNumberFormat="1" applyFill="1" applyBorder="1" applyAlignment="1">
      <alignment horizontal="right" vertical="top"/>
    </xf>
    <xf numFmtId="166" fontId="5" fillId="3" borderId="1" xfId="2" applyNumberFormat="1" applyFill="1" applyBorder="1" applyAlignment="1">
      <alignment horizontal="right" vertical="top"/>
    </xf>
    <xf numFmtId="0" fontId="5" fillId="3" borderId="1" xfId="2" applyFill="1" applyBorder="1" applyAlignment="1">
      <alignment vertical="top" wrapText="1"/>
    </xf>
    <xf numFmtId="0" fontId="6" fillId="2" borderId="1" xfId="2" applyFont="1" applyFill="1" applyBorder="1" applyAlignment="1">
      <alignment vertical="top" wrapText="1"/>
    </xf>
    <xf numFmtId="0" fontId="6" fillId="2" borderId="2" xfId="2" applyFont="1" applyFill="1" applyBorder="1" applyAlignment="1">
      <alignment vertical="top" wrapText="1"/>
    </xf>
    <xf numFmtId="1" fontId="5" fillId="0" borderId="0" xfId="2" applyNumberFormat="1"/>
    <xf numFmtId="0" fontId="5" fillId="0" borderId="0" xfId="1" applyFont="1"/>
    <xf numFmtId="3" fontId="5" fillId="0" borderId="0" xfId="2" applyNumberFormat="1"/>
    <xf numFmtId="3" fontId="5" fillId="3" borderId="1" xfId="2" applyNumberFormat="1" applyFill="1" applyBorder="1" applyAlignment="1">
      <alignment horizontal="center" vertical="center"/>
    </xf>
    <xf numFmtId="3" fontId="5" fillId="0" borderId="0" xfId="2" applyNumberFormat="1" applyAlignment="1">
      <alignment horizontal="center" vertical="center"/>
    </xf>
    <xf numFmtId="3" fontId="3" fillId="3" borderId="1" xfId="1" applyNumberFormat="1" applyFill="1" applyBorder="1" applyAlignment="1">
      <alignment horizontal="center" vertical="center"/>
    </xf>
    <xf numFmtId="172" fontId="5" fillId="3" borderId="1" xfId="2" applyNumberForma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9" fontId="5" fillId="0" borderId="0" xfId="2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3" fontId="8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" fontId="0" fillId="0" borderId="0" xfId="0" applyNumberFormat="1"/>
    <xf numFmtId="173" fontId="0" fillId="0" borderId="5" xfId="0" applyNumberForma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173" fontId="10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7" fillId="5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1" applyFill="1" applyBorder="1" applyAlignment="1">
      <alignment horizontal="left" vertical="top" wrapText="1" indent="2"/>
    </xf>
    <xf numFmtId="0" fontId="3" fillId="0" borderId="1" xfId="1" applyBorder="1" applyAlignment="1">
      <alignment horizontal="left" vertical="top" wrapText="1" indent="4"/>
    </xf>
    <xf numFmtId="0" fontId="3" fillId="3" borderId="1" xfId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2" borderId="3" xfId="1" applyFont="1" applyFill="1" applyBorder="1" applyAlignment="1">
      <alignment horizontal="left" vertical="top" wrapText="1"/>
    </xf>
    <xf numFmtId="0" fontId="4" fillId="2" borderId="4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/>
    </xf>
  </cellXfs>
  <cellStyles count="3">
    <cellStyle name="Обычный" xfId="0" builtinId="0"/>
    <cellStyle name="Обычный 2" xfId="1" xr:uid="{80B3282E-BD2A-4C95-974D-1118B9EDD5B6}"/>
    <cellStyle name="Обычный 3" xfId="2" xr:uid="{8830E389-ADE1-48D8-AC5D-658A20195641}"/>
  </cellStyles>
  <dxfs count="4">
    <dxf>
      <fill>
        <patternFill patternType="solid">
          <fgColor rgb="FFF8F2D8"/>
          <bgColor auto="1"/>
        </patternFill>
      </fill>
    </dxf>
    <dxf>
      <fill>
        <patternFill patternType="solid">
          <fgColor rgb="FFF8F2D8"/>
          <bgColor auto="1"/>
        </patternFill>
      </fill>
    </dxf>
    <dxf>
      <fill>
        <patternFill patternType="solid">
          <fgColor rgb="FFF8F2D8"/>
          <bgColor auto="1"/>
        </patternFill>
      </fill>
    </dxf>
    <dxf>
      <fill>
        <patternFill patternType="solid">
          <fgColor rgb="FFF8F2D8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59-41BB-8F94-B8A1A8349DE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59-41BB-8F94-B8A1A8349DE3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59-41BB-8F94-B8A1A8349DE3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159-41BB-8F94-B8A1A8349DE3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159-41BB-8F94-B8A1A8349DE3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59-41BB-8F94-B8A1A8349D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159-41BB-8F94-B8A1A8349D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59-41BB-8F94-B8A1A8349DE3}"/>
              </c:ext>
            </c:extLst>
          </c:dPt>
          <c:dLbls>
            <c:dLbl>
              <c:idx val="0"/>
              <c:layout>
                <c:manualLayout>
                  <c:x val="0"/>
                  <c:y val="-2.848930146429628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823E9CDB-F205-4F75-97DA-8B9491371379}" type="CATEGORYNAME">
                      <a:rPr lang="ru-RU"/>
                      <a:pPr>
                        <a:defRPr/>
                      </a:pPr>
                      <a:t>[ИМЯ КАТЕГОРИИ]</a:t>
                    </a:fld>
                    <a:r>
                      <a:rPr lang="ru-RU"/>
                      <a:t> (40%)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159-41BB-8F94-B8A1A8349DE3}"/>
                </c:ext>
              </c:extLst>
            </c:dLbl>
            <c:dLbl>
              <c:idx val="1"/>
              <c:layout>
                <c:manualLayout>
                  <c:x val="0.17123600174978118"/>
                  <c:y val="-7.912948381452318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E28E3A95-7B0B-4420-86BB-AE44839117D2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(13%)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159-41BB-8F94-B8A1A8349DE3}"/>
                </c:ext>
              </c:extLst>
            </c:dLbl>
            <c:dLbl>
              <c:idx val="2"/>
              <c:layout>
                <c:manualLayout>
                  <c:x val="-9.0302055993000896E-2"/>
                  <c:y val="3.3256780402449696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D1B662C4-2DF8-4E5D-8533-38C3C4C90C12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(11%)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159-41BB-8F94-B8A1A8349DE3}"/>
                </c:ext>
              </c:extLst>
            </c:dLbl>
            <c:dLbl>
              <c:idx val="3"/>
              <c:layout>
                <c:manualLayout>
                  <c:x val="-5.0036932883389576E-2"/>
                  <c:y val="-2.826213042058818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9D13A0F4-2E94-4C34-A253-EAA29FBE04F4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(7%)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159-41BB-8F94-B8A1A8349DE3}"/>
                </c:ext>
              </c:extLst>
            </c:dLbl>
            <c:dLbl>
              <c:idx val="4"/>
              <c:layout>
                <c:manualLayout>
                  <c:x val="-2.8494981918392157E-2"/>
                  <c:y val="-8.023991925026344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BA32F5A0-72CB-4F4F-842B-F81C9F8E3382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(5%)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90107431714999"/>
                      <c:h val="0.116970620043808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159-41BB-8F94-B8A1A8349DE3}"/>
                </c:ext>
              </c:extLst>
            </c:dLbl>
            <c:dLbl>
              <c:idx val="5"/>
              <c:layout>
                <c:manualLayout>
                  <c:x val="-4.6862521723087573E-2"/>
                  <c:y val="-2.922046492121269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E12925B2-9E47-42F5-AF62-B7361E5E3C50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(5%)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159-41BB-8F94-B8A1A8349DE3}"/>
                </c:ext>
              </c:extLst>
            </c:dLbl>
            <c:dLbl>
              <c:idx val="6"/>
              <c:layout>
                <c:manualLayout>
                  <c:x val="-0.12430218411373029"/>
                  <c:y val="7.8364301915032318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070331ED-9C8C-4054-9186-9B5B5E7CE476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(14%)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159-41BB-8F94-B8A1A8349DE3}"/>
                </c:ext>
              </c:extLst>
            </c:dLbl>
            <c:dLbl>
              <c:idx val="7"/>
              <c:layout>
                <c:manualLayout>
                  <c:x val="-0.2353305211848519"/>
                  <c:y val="1.702063095855916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BC1DF7BD-65B8-45F6-A874-0A33A6F829C9}" type="CATEGORYNAME">
                      <a:rPr lang="ru-RU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/>
                      <a:t> (5%)</a:t>
                    </a:r>
                  </a:p>
                </c:rich>
              </c:tx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159-41BB-8F94-B8A1A8349DE3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'Закупки РФ-РФ (таблица)'!$H$4:$H$11</c:f>
              <c:strCache>
                <c:ptCount val="8"/>
                <c:pt idx="0">
                  <c:v>НОВЭЛХИМ</c:v>
                </c:pt>
                <c:pt idx="1">
                  <c:v>КЕРХЕР</c:v>
                </c:pt>
                <c:pt idx="2">
                  <c:v>КОМЕТА</c:v>
                </c:pt>
                <c:pt idx="3">
                  <c:v>ГРЭНТ</c:v>
                </c:pt>
                <c:pt idx="4">
                  <c:v>ХАССПЕР (СБС)</c:v>
                </c:pt>
                <c:pt idx="5">
                  <c:v>ВЕЛЛ-ВЕ</c:v>
                </c:pt>
                <c:pt idx="6">
                  <c:v>Остальное</c:v>
                </c:pt>
                <c:pt idx="7">
                  <c:v>Закупки сервис</c:v>
                </c:pt>
              </c:strCache>
            </c:strRef>
          </c:cat>
          <c:val>
            <c:numRef>
              <c:f>'Закупки РФ-РФ (таблица)'!$I$4:$I$11</c:f>
              <c:numCache>
                <c:formatCode>0%</c:formatCode>
                <c:ptCount val="8"/>
                <c:pt idx="0">
                  <c:v>0.39791477003779052</c:v>
                </c:pt>
                <c:pt idx="1">
                  <c:v>0.13375435434538555</c:v>
                </c:pt>
                <c:pt idx="2">
                  <c:v>0.11098263698722545</c:v>
                </c:pt>
                <c:pt idx="3">
                  <c:v>6.8581122798275537E-2</c:v>
                </c:pt>
                <c:pt idx="4">
                  <c:v>5.2765379490265621E-2</c:v>
                </c:pt>
                <c:pt idx="5">
                  <c:v>4.5779139235763294E-2</c:v>
                </c:pt>
                <c:pt idx="6">
                  <c:v>0.1379108318778566</c:v>
                </c:pt>
                <c:pt idx="7">
                  <c:v>5.2311765227437391E-2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9-41BB-8F94-B8A1A8349DE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13</xdr:row>
      <xdr:rowOff>61911</xdr:rowOff>
    </xdr:from>
    <xdr:to>
      <xdr:col>15</xdr:col>
      <xdr:colOff>200026</xdr:colOff>
      <xdr:row>40</xdr:row>
      <xdr:rowOff>66674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DE9001-8E25-44E9-B082-ED5040DEB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E25"/>
  <sheetViews>
    <sheetView tabSelected="1" workbookViewId="0">
      <selection activeCell="A18" sqref="A18"/>
    </sheetView>
  </sheetViews>
  <sheetFormatPr defaultRowHeight="15" x14ac:dyDescent="0.25"/>
  <cols>
    <col min="1" max="1" width="76.5703125" bestFit="1" customWidth="1"/>
    <col min="2" max="2" width="29" customWidth="1"/>
    <col min="3" max="3" width="27.85546875" customWidth="1"/>
    <col min="4" max="4" width="9.85546875" bestFit="1" customWidth="1"/>
  </cols>
  <sheetData>
    <row r="1" spans="1:3" x14ac:dyDescent="0.25">
      <c r="A1" s="91" t="s">
        <v>1434</v>
      </c>
      <c r="B1" s="91" t="s">
        <v>1435</v>
      </c>
    </row>
    <row r="2" spans="1:3" x14ac:dyDescent="0.25">
      <c r="A2" s="94" t="s">
        <v>1433</v>
      </c>
      <c r="B2" s="92">
        <v>4258038.3</v>
      </c>
      <c r="C2" s="7"/>
    </row>
    <row r="3" spans="1:3" x14ac:dyDescent="0.25">
      <c r="A3" s="94" t="s">
        <v>1432</v>
      </c>
      <c r="B3" s="92">
        <v>4956668.87</v>
      </c>
    </row>
    <row r="4" spans="1:3" x14ac:dyDescent="0.25">
      <c r="A4" s="94" t="s">
        <v>1430</v>
      </c>
      <c r="B4" s="92">
        <v>5281388</v>
      </c>
      <c r="C4" s="15"/>
    </row>
    <row r="5" spans="1:3" x14ac:dyDescent="0.25">
      <c r="A5" s="94" t="s">
        <v>1431</v>
      </c>
      <c r="B5" s="92">
        <v>6236485</v>
      </c>
    </row>
    <row r="6" spans="1:3" ht="18.75" x14ac:dyDescent="0.25">
      <c r="A6" s="102" t="s">
        <v>1437</v>
      </c>
      <c r="B6" s="100">
        <f>B5-B4</f>
        <v>955097</v>
      </c>
    </row>
    <row r="7" spans="1:3" ht="18.75" x14ac:dyDescent="0.25">
      <c r="A7" s="102" t="s">
        <v>1438</v>
      </c>
      <c r="B7" s="101">
        <f>B5/B4-1</f>
        <v>0.18084204379606272</v>
      </c>
    </row>
    <row r="8" spans="1:3" x14ac:dyDescent="0.25">
      <c r="A8" s="94" t="s">
        <v>1445</v>
      </c>
      <c r="B8" s="92">
        <f>B5-B2</f>
        <v>1978446.7000000002</v>
      </c>
      <c r="C8" s="16"/>
    </row>
    <row r="9" spans="1:3" x14ac:dyDescent="0.25">
      <c r="A9" s="94" t="s">
        <v>1448</v>
      </c>
      <c r="B9" s="99">
        <f>B5/B2-1</f>
        <v>0.46463807054060569</v>
      </c>
    </row>
    <row r="12" spans="1:3" x14ac:dyDescent="0.25">
      <c r="B12" t="s">
        <v>1451</v>
      </c>
      <c r="C12" s="3">
        <v>1330634.24</v>
      </c>
    </row>
    <row r="13" spans="1:3" x14ac:dyDescent="0.25">
      <c r="B13" t="s">
        <v>1450</v>
      </c>
      <c r="C13" s="3">
        <v>1519281.98</v>
      </c>
    </row>
    <row r="14" spans="1:3" x14ac:dyDescent="0.25">
      <c r="B14" t="s">
        <v>1449</v>
      </c>
      <c r="C14" s="3">
        <v>1529715.94</v>
      </c>
    </row>
    <row r="15" spans="1:3" x14ac:dyDescent="0.25">
      <c r="B15" t="s">
        <v>1447</v>
      </c>
      <c r="C15" s="3">
        <v>1476305.23</v>
      </c>
    </row>
    <row r="16" spans="1:3" x14ac:dyDescent="0.25">
      <c r="B16" t="s">
        <v>1446</v>
      </c>
      <c r="C16" s="3">
        <v>1888600.78</v>
      </c>
    </row>
    <row r="17" spans="2:5" x14ac:dyDescent="0.25">
      <c r="B17" t="s">
        <v>1444</v>
      </c>
      <c r="C17" s="3">
        <v>1767766.31</v>
      </c>
      <c r="D17" s="2">
        <f>SUM(C12:C17)</f>
        <v>9512304.4800000004</v>
      </c>
      <c r="E17">
        <f>D17/6</f>
        <v>1585384.08</v>
      </c>
    </row>
    <row r="18" spans="2:5" x14ac:dyDescent="0.25">
      <c r="B18" s="98" t="s">
        <v>1443</v>
      </c>
      <c r="C18" s="3">
        <v>1557434.11</v>
      </c>
    </row>
    <row r="19" spans="2:5" x14ac:dyDescent="0.25">
      <c r="B19" t="s">
        <v>1436</v>
      </c>
      <c r="C19" s="3">
        <v>1735340.25</v>
      </c>
    </row>
    <row r="20" spans="2:5" x14ac:dyDescent="0.25">
      <c r="B20" t="s">
        <v>1439</v>
      </c>
      <c r="C20" s="3">
        <v>1729646.88</v>
      </c>
    </row>
    <row r="21" spans="2:5" x14ac:dyDescent="0.25">
      <c r="B21" t="s">
        <v>1440</v>
      </c>
      <c r="C21" s="3">
        <v>1980237.68</v>
      </c>
    </row>
    <row r="22" spans="2:5" x14ac:dyDescent="0.25">
      <c r="B22" t="s">
        <v>1441</v>
      </c>
      <c r="C22" s="3">
        <v>2150237.2999999998</v>
      </c>
    </row>
    <row r="23" spans="2:5" x14ac:dyDescent="0.25">
      <c r="B23" t="s">
        <v>1442</v>
      </c>
      <c r="C23" s="3">
        <v>1805171.84</v>
      </c>
      <c r="D23" s="2">
        <f>SUM(C18:C23)</f>
        <v>10958068.059999999</v>
      </c>
      <c r="E23">
        <f>D23/6</f>
        <v>1826344.6766666665</v>
      </c>
    </row>
    <row r="25" spans="2:5" x14ac:dyDescent="0.25">
      <c r="E25">
        <f>E23/E17-1</f>
        <v>0.15198878284854889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B069-B4F7-4902-9996-8E4DE2E32F7A}">
  <sheetPr>
    <tabColor theme="5" tint="0.39997558519241921"/>
  </sheetPr>
  <dimension ref="A1:D35"/>
  <sheetViews>
    <sheetView workbookViewId="0">
      <selection activeCell="A18" sqref="A18:F38"/>
    </sheetView>
  </sheetViews>
  <sheetFormatPr defaultRowHeight="15" x14ac:dyDescent="0.25"/>
  <cols>
    <col min="1" max="1" width="32.7109375" bestFit="1" customWidth="1"/>
    <col min="2" max="2" width="10.140625" bestFit="1" customWidth="1"/>
    <col min="3" max="3" width="11.42578125" bestFit="1" customWidth="1"/>
    <col min="4" max="4" width="9.5703125" bestFit="1" customWidth="1"/>
  </cols>
  <sheetData>
    <row r="1" spans="1:4" x14ac:dyDescent="0.25">
      <c r="B1" s="1">
        <v>45291</v>
      </c>
      <c r="C1" s="1">
        <v>45473</v>
      </c>
    </row>
    <row r="2" spans="1:4" x14ac:dyDescent="0.25">
      <c r="A2" t="s">
        <v>0</v>
      </c>
      <c r="B2" s="3">
        <v>121903.25</v>
      </c>
      <c r="C2" s="3">
        <v>126078.86</v>
      </c>
      <c r="D2" s="2">
        <f>C2-B2</f>
        <v>4175.6100000000006</v>
      </c>
    </row>
    <row r="3" spans="1:4" x14ac:dyDescent="0.25">
      <c r="A3" t="s">
        <v>1</v>
      </c>
      <c r="B3" s="3">
        <v>110526.48</v>
      </c>
      <c r="C3" s="3">
        <v>125666.97</v>
      </c>
      <c r="D3" s="2">
        <f t="shared" ref="D3:D15" si="0">C3-B3</f>
        <v>15140.490000000005</v>
      </c>
    </row>
    <row r="4" spans="1:4" x14ac:dyDescent="0.25">
      <c r="A4" t="s">
        <v>2</v>
      </c>
      <c r="B4" s="3">
        <v>103174.37</v>
      </c>
      <c r="C4" s="3">
        <v>108716.28</v>
      </c>
      <c r="D4" s="2">
        <f t="shared" si="0"/>
        <v>5541.9100000000035</v>
      </c>
    </row>
    <row r="5" spans="1:4" x14ac:dyDescent="0.25">
      <c r="A5" t="s">
        <v>3</v>
      </c>
      <c r="B5" s="3">
        <v>106642.6</v>
      </c>
      <c r="C5" s="3">
        <v>120667.97</v>
      </c>
      <c r="D5" s="2">
        <f t="shared" si="0"/>
        <v>14025.369999999995</v>
      </c>
    </row>
    <row r="6" spans="1:4" x14ac:dyDescent="0.25">
      <c r="A6" t="s">
        <v>4</v>
      </c>
      <c r="B6" s="3">
        <v>18641.5</v>
      </c>
      <c r="C6" s="3">
        <v>23352.37</v>
      </c>
      <c r="D6" s="2">
        <f t="shared" si="0"/>
        <v>4710.869999999999</v>
      </c>
    </row>
    <row r="7" spans="1:4" x14ac:dyDescent="0.25">
      <c r="A7" t="s">
        <v>5</v>
      </c>
      <c r="B7" s="3">
        <v>61263.88</v>
      </c>
      <c r="C7" s="3">
        <v>88473.77</v>
      </c>
      <c r="D7" s="2">
        <f t="shared" si="0"/>
        <v>27209.890000000007</v>
      </c>
    </row>
    <row r="8" spans="1:4" x14ac:dyDescent="0.25">
      <c r="A8" t="s">
        <v>6</v>
      </c>
      <c r="B8" s="3">
        <v>20100.98</v>
      </c>
      <c r="C8" s="3">
        <v>22020.959999999999</v>
      </c>
      <c r="D8" s="2">
        <f t="shared" si="0"/>
        <v>1919.9799999999996</v>
      </c>
    </row>
    <row r="9" spans="1:4" x14ac:dyDescent="0.25">
      <c r="A9" t="s">
        <v>7</v>
      </c>
      <c r="B9" s="3">
        <v>22478.89</v>
      </c>
      <c r="C9" s="3">
        <v>44469.120000000003</v>
      </c>
      <c r="D9" s="2">
        <f t="shared" si="0"/>
        <v>21990.230000000003</v>
      </c>
    </row>
    <row r="10" spans="1:4" x14ac:dyDescent="0.25">
      <c r="A10" t="s">
        <v>8</v>
      </c>
      <c r="B10" s="3">
        <v>3826.4</v>
      </c>
      <c r="C10" s="3">
        <v>3857.79</v>
      </c>
      <c r="D10" s="2">
        <f t="shared" si="0"/>
        <v>31.389999999999873</v>
      </c>
    </row>
    <row r="11" spans="1:4" x14ac:dyDescent="0.25">
      <c r="A11" t="s">
        <v>9</v>
      </c>
      <c r="B11" s="3">
        <v>2643202.1800000002</v>
      </c>
      <c r="C11" s="3">
        <v>3583490.1</v>
      </c>
      <c r="D11" s="2">
        <f t="shared" si="0"/>
        <v>940287.91999999993</v>
      </c>
    </row>
    <row r="12" spans="1:4" x14ac:dyDescent="0.25">
      <c r="A12" t="s">
        <v>10</v>
      </c>
      <c r="B12" s="3">
        <v>509747.38</v>
      </c>
      <c r="C12" s="3">
        <v>124607.7</v>
      </c>
      <c r="D12" s="2">
        <f t="shared" si="0"/>
        <v>-385139.68</v>
      </c>
    </row>
    <row r="13" spans="1:4" x14ac:dyDescent="0.25">
      <c r="A13" t="s">
        <v>11</v>
      </c>
      <c r="B13" s="3">
        <v>415763.21</v>
      </c>
      <c r="C13" s="3">
        <f>495406.89</f>
        <v>495406.89</v>
      </c>
      <c r="D13" s="2">
        <f t="shared" si="0"/>
        <v>79643.679999999993</v>
      </c>
    </row>
    <row r="14" spans="1:4" x14ac:dyDescent="0.25">
      <c r="A14" t="s">
        <v>117</v>
      </c>
      <c r="B14" s="3">
        <f>SUM(B17:B31)</f>
        <v>0</v>
      </c>
      <c r="C14" s="3">
        <f>SUM(C18:C31)</f>
        <v>0</v>
      </c>
      <c r="D14" s="2">
        <f t="shared" si="0"/>
        <v>0</v>
      </c>
    </row>
    <row r="15" spans="1:4" x14ac:dyDescent="0.25">
      <c r="A15" t="s">
        <v>118</v>
      </c>
      <c r="B15" s="3">
        <f>SUM(B33:B34)</f>
        <v>0</v>
      </c>
      <c r="C15" s="3">
        <f>C33+C34</f>
        <v>0</v>
      </c>
      <c r="D15" s="2">
        <f t="shared" si="0"/>
        <v>0</v>
      </c>
    </row>
    <row r="16" spans="1:4" x14ac:dyDescent="0.25">
      <c r="B16" s="3"/>
      <c r="C16" s="3"/>
    </row>
    <row r="17" spans="2:4" x14ac:dyDescent="0.25">
      <c r="B17" s="3"/>
      <c r="C17" s="3"/>
      <c r="D17" s="2">
        <f>C17-B17</f>
        <v>0</v>
      </c>
    </row>
    <row r="18" spans="2:4" x14ac:dyDescent="0.25">
      <c r="B18" s="3"/>
      <c r="C18" s="3"/>
      <c r="D18" s="2"/>
    </row>
    <row r="19" spans="2:4" x14ac:dyDescent="0.25">
      <c r="B19" s="3"/>
      <c r="C19" s="3"/>
      <c r="D19" s="2"/>
    </row>
    <row r="20" spans="2:4" x14ac:dyDescent="0.25">
      <c r="B20" s="3"/>
      <c r="C20" s="3"/>
      <c r="D20" s="2"/>
    </row>
    <row r="21" spans="2:4" x14ac:dyDescent="0.25">
      <c r="B21" s="3"/>
      <c r="C21" s="3"/>
      <c r="D21" s="2"/>
    </row>
    <row r="22" spans="2:4" x14ac:dyDescent="0.25">
      <c r="B22" s="3"/>
      <c r="C22" s="3"/>
      <c r="D22" s="2"/>
    </row>
    <row r="23" spans="2:4" x14ac:dyDescent="0.25">
      <c r="B23" s="3"/>
      <c r="C23" s="3"/>
      <c r="D23" s="2"/>
    </row>
    <row r="24" spans="2:4" x14ac:dyDescent="0.25">
      <c r="B24" s="3"/>
      <c r="C24" s="3"/>
      <c r="D24" s="2"/>
    </row>
    <row r="25" spans="2:4" x14ac:dyDescent="0.25">
      <c r="B25" s="3"/>
      <c r="C25" s="3"/>
      <c r="D25" s="2"/>
    </row>
    <row r="26" spans="2:4" x14ac:dyDescent="0.25">
      <c r="B26" s="3"/>
      <c r="C26" s="3"/>
      <c r="D26" s="2"/>
    </row>
    <row r="27" spans="2:4" x14ac:dyDescent="0.25">
      <c r="B27" s="3"/>
      <c r="C27" s="3"/>
      <c r="D27" s="2"/>
    </row>
    <row r="28" spans="2:4" x14ac:dyDescent="0.25">
      <c r="B28" s="3"/>
      <c r="C28" s="3"/>
      <c r="D28" s="2"/>
    </row>
    <row r="29" spans="2:4" x14ac:dyDescent="0.25">
      <c r="B29" s="3"/>
      <c r="C29" s="3"/>
      <c r="D29" s="2"/>
    </row>
    <row r="30" spans="2:4" x14ac:dyDescent="0.25">
      <c r="B30" s="3"/>
      <c r="C30" s="3"/>
      <c r="D30" s="2"/>
    </row>
    <row r="31" spans="2:4" x14ac:dyDescent="0.25">
      <c r="B31" s="3"/>
      <c r="C31" s="3"/>
      <c r="D31" s="2"/>
    </row>
    <row r="32" spans="2:4" x14ac:dyDescent="0.25">
      <c r="B32" s="3"/>
      <c r="C32" s="3"/>
      <c r="D32" s="2"/>
    </row>
    <row r="33" spans="2:4" x14ac:dyDescent="0.25">
      <c r="B33" s="3"/>
      <c r="C33" s="3"/>
      <c r="D33" s="2"/>
    </row>
    <row r="34" spans="2:4" x14ac:dyDescent="0.25">
      <c r="B34" s="3"/>
      <c r="C34" s="3"/>
      <c r="D34" s="2"/>
    </row>
    <row r="35" spans="2:4" x14ac:dyDescent="0.25">
      <c r="B35" s="3"/>
      <c r="C3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B0D2-140A-4070-A39B-25E5C9CBAEF9}">
  <sheetPr>
    <tabColor theme="5" tint="0.39997558519241921"/>
  </sheetPr>
  <dimension ref="B1:H27"/>
  <sheetViews>
    <sheetView workbookViewId="0">
      <selection activeCell="E2" sqref="E2:E21"/>
    </sheetView>
  </sheetViews>
  <sheetFormatPr defaultRowHeight="15" x14ac:dyDescent="0.25"/>
  <cols>
    <col min="2" max="2" width="27" bestFit="1" customWidth="1"/>
    <col min="3" max="3" width="18.5703125" customWidth="1"/>
    <col min="4" max="4" width="17.5703125" customWidth="1"/>
    <col min="5" max="5" width="18.28515625" customWidth="1"/>
    <col min="6" max="6" width="14.7109375" customWidth="1"/>
  </cols>
  <sheetData>
    <row r="1" spans="2:7" ht="60" x14ac:dyDescent="0.25">
      <c r="B1" s="4" t="s">
        <v>24</v>
      </c>
      <c r="C1" s="5" t="s">
        <v>43</v>
      </c>
      <c r="D1" s="5" t="s">
        <v>1387</v>
      </c>
      <c r="E1" s="5" t="s">
        <v>49</v>
      </c>
      <c r="F1" s="5" t="s">
        <v>50</v>
      </c>
    </row>
    <row r="2" spans="2:7" x14ac:dyDescent="0.25">
      <c r="B2" t="s">
        <v>25</v>
      </c>
      <c r="C2" s="3">
        <v>140207.14000000001</v>
      </c>
      <c r="D2" s="3">
        <v>308601.65000000002</v>
      </c>
      <c r="E2" s="3">
        <f>D2-C2</f>
        <v>168394.51</v>
      </c>
      <c r="F2" s="6">
        <f>D2/C2-1</f>
        <v>1.2010409027671485</v>
      </c>
      <c r="G2" s="7">
        <v>-19334.479999999981</v>
      </c>
    </row>
    <row r="3" spans="2:7" x14ac:dyDescent="0.25">
      <c r="B3" t="s">
        <v>26</v>
      </c>
      <c r="C3" s="3">
        <v>25209.01</v>
      </c>
      <c r="D3" s="3">
        <v>9637.9500000000007</v>
      </c>
      <c r="E3" s="3">
        <f t="shared" ref="E3:E21" si="0">D3-C3</f>
        <v>-15571.059999999998</v>
      </c>
      <c r="F3" s="6">
        <f t="shared" ref="F3:F22" si="1">D3/C3-1</f>
        <v>-0.6176783618238082</v>
      </c>
      <c r="G3" s="7">
        <v>-8773.4000000000051</v>
      </c>
    </row>
    <row r="4" spans="2:7" x14ac:dyDescent="0.25">
      <c r="B4" t="s">
        <v>1388</v>
      </c>
      <c r="C4" s="3">
        <v>40503.599999999999</v>
      </c>
      <c r="D4" s="3">
        <v>102853.99</v>
      </c>
      <c r="E4" s="3">
        <f t="shared" ref="E4" si="2">D4-C4</f>
        <v>62350.390000000007</v>
      </c>
      <c r="F4" s="89">
        <f t="shared" ref="F4" si="3">D4/C4-1</f>
        <v>1.5393789687830219</v>
      </c>
      <c r="G4" s="7">
        <v>-8772.4000000000106</v>
      </c>
    </row>
    <row r="5" spans="2:7" x14ac:dyDescent="0.25">
      <c r="B5" t="s">
        <v>27</v>
      </c>
      <c r="C5" s="3">
        <v>183220.82</v>
      </c>
      <c r="D5" s="3">
        <v>172640.53</v>
      </c>
      <c r="E5" s="3">
        <f t="shared" si="0"/>
        <v>-10580.290000000008</v>
      </c>
      <c r="F5" s="6">
        <f t="shared" si="1"/>
        <v>-5.7746112041197062E-2</v>
      </c>
      <c r="G5" s="7">
        <v>23114.68</v>
      </c>
    </row>
    <row r="6" spans="2:7" x14ac:dyDescent="0.25">
      <c r="B6" t="s">
        <v>28</v>
      </c>
      <c r="C6" s="3">
        <v>438765.91</v>
      </c>
      <c r="D6" s="3">
        <v>314556.52</v>
      </c>
      <c r="E6" s="3">
        <f t="shared" si="0"/>
        <v>-124209.38999999996</v>
      </c>
      <c r="F6" s="6">
        <f t="shared" si="1"/>
        <v>-0.28308805941646642</v>
      </c>
      <c r="G6" s="7">
        <v>113798.55</v>
      </c>
    </row>
    <row r="7" spans="2:7" x14ac:dyDescent="0.25">
      <c r="B7" t="s">
        <v>29</v>
      </c>
      <c r="C7" s="3">
        <v>185318.49</v>
      </c>
      <c r="D7" s="3">
        <v>212482.33</v>
      </c>
      <c r="E7" s="3">
        <f t="shared" si="0"/>
        <v>27163.839999999997</v>
      </c>
      <c r="F7" s="6">
        <f t="shared" si="1"/>
        <v>0.14657922153369585</v>
      </c>
      <c r="G7" s="7">
        <v>106638.67</v>
      </c>
    </row>
    <row r="8" spans="2:7" x14ac:dyDescent="0.25">
      <c r="B8" t="s">
        <v>30</v>
      </c>
      <c r="C8" s="3">
        <v>99983.65</v>
      </c>
      <c r="D8" s="3">
        <v>97208.99</v>
      </c>
      <c r="E8" s="3">
        <f t="shared" si="0"/>
        <v>-2774.6599999999889</v>
      </c>
      <c r="F8" s="6">
        <f t="shared" si="1"/>
        <v>-2.7751137310950247E-2</v>
      </c>
      <c r="G8" s="7">
        <v>50772.01</v>
      </c>
    </row>
    <row r="9" spans="2:7" x14ac:dyDescent="0.25">
      <c r="B9" t="s">
        <v>31</v>
      </c>
      <c r="C9" s="3">
        <v>34347.49</v>
      </c>
      <c r="D9" s="3">
        <v>30939.16</v>
      </c>
      <c r="E9" s="3">
        <f t="shared" si="0"/>
        <v>-3408.3299999999981</v>
      </c>
      <c r="F9" s="6">
        <f t="shared" si="1"/>
        <v>-9.9230831714340662E-2</v>
      </c>
      <c r="G9" s="7">
        <v>1616.98</v>
      </c>
    </row>
    <row r="10" spans="2:7" x14ac:dyDescent="0.25">
      <c r="B10" t="s">
        <v>32</v>
      </c>
      <c r="C10" s="3">
        <v>697292.15</v>
      </c>
      <c r="D10" s="3">
        <v>1133916.6100000001</v>
      </c>
      <c r="E10" s="3">
        <f t="shared" si="0"/>
        <v>436624.46000000008</v>
      </c>
      <c r="F10" s="6">
        <f t="shared" si="1"/>
        <v>0.62617148350228824</v>
      </c>
      <c r="G10" s="7">
        <v>331505.75</v>
      </c>
    </row>
    <row r="11" spans="2:7" x14ac:dyDescent="0.25">
      <c r="B11" t="s">
        <v>33</v>
      </c>
      <c r="C11" s="3">
        <v>1273378</v>
      </c>
      <c r="D11" s="3">
        <v>1525620.83</v>
      </c>
      <c r="E11" s="3">
        <f t="shared" si="0"/>
        <v>252242.83000000007</v>
      </c>
      <c r="F11" s="6">
        <f t="shared" si="1"/>
        <v>0.198089514661004</v>
      </c>
      <c r="G11" s="7">
        <v>141749.64000000001</v>
      </c>
    </row>
    <row r="12" spans="2:7" x14ac:dyDescent="0.25">
      <c r="B12" t="s">
        <v>34</v>
      </c>
      <c r="C12" s="3">
        <v>110331.11</v>
      </c>
      <c r="D12" s="3">
        <v>102822.02</v>
      </c>
      <c r="E12" s="3">
        <f t="shared" si="0"/>
        <v>-7509.0899999999965</v>
      </c>
      <c r="F12" s="6">
        <f t="shared" si="1"/>
        <v>-6.8059588995343145E-2</v>
      </c>
      <c r="G12" s="7">
        <v>8913.69</v>
      </c>
    </row>
    <row r="13" spans="2:7" ht="30" x14ac:dyDescent="0.25">
      <c r="B13" s="8" t="s">
        <v>35</v>
      </c>
      <c r="C13" s="3">
        <v>57258.93</v>
      </c>
      <c r="D13" s="3">
        <v>33967.379999999997</v>
      </c>
      <c r="E13" s="3">
        <f t="shared" si="0"/>
        <v>-23291.550000000003</v>
      </c>
      <c r="F13" s="6">
        <f t="shared" si="1"/>
        <v>-0.40677585138248307</v>
      </c>
      <c r="G13" s="7">
        <v>56228.61</v>
      </c>
    </row>
    <row r="14" spans="2:7" ht="30" x14ac:dyDescent="0.25">
      <c r="B14" s="8" t="s">
        <v>36</v>
      </c>
      <c r="C14" s="3">
        <v>73550.31</v>
      </c>
      <c r="D14" s="3">
        <v>93395.65</v>
      </c>
      <c r="E14" s="3">
        <f t="shared" si="0"/>
        <v>19845.339999999997</v>
      </c>
      <c r="F14" s="6">
        <f t="shared" si="1"/>
        <v>0.26981993685682637</v>
      </c>
      <c r="G14" s="7">
        <v>30650.29</v>
      </c>
    </row>
    <row r="15" spans="2:7" x14ac:dyDescent="0.25">
      <c r="B15" t="s">
        <v>37</v>
      </c>
      <c r="C15" s="3">
        <v>45149.03</v>
      </c>
      <c r="D15" s="3">
        <v>42947.26</v>
      </c>
      <c r="E15" s="3">
        <f t="shared" si="0"/>
        <v>-2201.7699999999968</v>
      </c>
      <c r="F15" s="6">
        <f t="shared" si="1"/>
        <v>-4.8766717690280292E-2</v>
      </c>
      <c r="G15" s="7">
        <v>11442.31</v>
      </c>
    </row>
    <row r="16" spans="2:7" x14ac:dyDescent="0.25">
      <c r="B16" t="s">
        <v>38</v>
      </c>
      <c r="C16" s="3">
        <v>19647.98</v>
      </c>
      <c r="D16" s="3">
        <v>40008.9</v>
      </c>
      <c r="E16" s="3">
        <f t="shared" si="0"/>
        <v>20360.920000000002</v>
      </c>
      <c r="F16" s="6">
        <f t="shared" si="1"/>
        <v>1.0362856639715634</v>
      </c>
      <c r="G16" s="7">
        <v>-53183.86</v>
      </c>
    </row>
    <row r="17" spans="2:8" x14ac:dyDescent="0.25">
      <c r="B17" t="s">
        <v>39</v>
      </c>
      <c r="C17" s="3">
        <v>495525.98</v>
      </c>
      <c r="D17" s="3">
        <v>629926.98</v>
      </c>
      <c r="E17" s="3">
        <f t="shared" si="0"/>
        <v>134401</v>
      </c>
      <c r="F17" s="6">
        <f t="shared" si="1"/>
        <v>0.27122896765170612</v>
      </c>
      <c r="G17" s="7">
        <v>122968.32000000001</v>
      </c>
    </row>
    <row r="18" spans="2:8" x14ac:dyDescent="0.25">
      <c r="B18" t="s">
        <v>40</v>
      </c>
      <c r="C18" s="3">
        <v>267496.59000000003</v>
      </c>
      <c r="D18" s="3">
        <v>235895.03</v>
      </c>
      <c r="E18" s="3">
        <f>D18-C18</f>
        <v>-31601.560000000027</v>
      </c>
      <c r="F18" s="6">
        <f t="shared" si="1"/>
        <v>-0.1181381788829533</v>
      </c>
      <c r="G18" s="7">
        <v>74720.049999999988</v>
      </c>
    </row>
    <row r="19" spans="2:8" x14ac:dyDescent="0.25">
      <c r="B19" t="s">
        <v>1389</v>
      </c>
      <c r="C19" s="3">
        <v>180898.24</v>
      </c>
      <c r="D19" s="3">
        <v>199173.2</v>
      </c>
      <c r="E19" s="3">
        <f>D19-C19</f>
        <v>18274.960000000021</v>
      </c>
      <c r="F19" s="89">
        <f t="shared" ref="F19" si="4">D19/C19-1</f>
        <v>0.10102342620912186</v>
      </c>
      <c r="G19" s="7">
        <v>74721.05</v>
      </c>
    </row>
    <row r="20" spans="2:8" x14ac:dyDescent="0.25">
      <c r="B20" t="s">
        <v>41</v>
      </c>
      <c r="C20" s="3">
        <v>60622.8</v>
      </c>
      <c r="D20" s="3">
        <v>79861.320000000007</v>
      </c>
      <c r="E20" s="3">
        <f t="shared" si="0"/>
        <v>19238.520000000004</v>
      </c>
      <c r="F20" s="6">
        <f t="shared" si="1"/>
        <v>0.31734792850214766</v>
      </c>
      <c r="G20" s="7">
        <v>11465.200000000004</v>
      </c>
    </row>
    <row r="21" spans="2:8" x14ac:dyDescent="0.25">
      <c r="B21" t="s">
        <v>42</v>
      </c>
      <c r="C21" s="3">
        <v>377108.71</v>
      </c>
      <c r="D21" s="3">
        <v>498438.17</v>
      </c>
      <c r="E21" s="3">
        <f t="shared" si="0"/>
        <v>121329.45999999996</v>
      </c>
      <c r="F21" s="6">
        <f t="shared" si="1"/>
        <v>0.32173603203171819</v>
      </c>
      <c r="G21" s="7">
        <v>-29505.429999999993</v>
      </c>
    </row>
    <row r="22" spans="2:8" x14ac:dyDescent="0.25">
      <c r="C22" s="3">
        <f>SUM(C2:C21)</f>
        <v>4805815.9399999995</v>
      </c>
      <c r="D22" s="3">
        <f>SUM(D2:D21)</f>
        <v>5864894.4700000007</v>
      </c>
      <c r="E22" s="3">
        <f>SUM(E2:E21)</f>
        <v>1059078.5300000003</v>
      </c>
      <c r="F22" s="6">
        <f t="shared" si="1"/>
        <v>0.22037434292583447</v>
      </c>
      <c r="G22" s="7">
        <v>974787.58000000007</v>
      </c>
    </row>
    <row r="24" spans="2:8" x14ac:dyDescent="0.25">
      <c r="E24" s="3"/>
    </row>
    <row r="26" spans="2:8" x14ac:dyDescent="0.25">
      <c r="C26">
        <v>5281388</v>
      </c>
      <c r="D26">
        <v>6236485</v>
      </c>
      <c r="H26" s="2">
        <f>D18-C18</f>
        <v>-31601.560000000027</v>
      </c>
    </row>
    <row r="27" spans="2:8" x14ac:dyDescent="0.25">
      <c r="C27">
        <f>C22/C26</f>
        <v>0.90995320548310399</v>
      </c>
      <c r="D27">
        <f>D22/D26</f>
        <v>0.94041667221199132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B968-11DC-48CA-8F5A-A33B439CE3FF}">
  <dimension ref="A1:J35"/>
  <sheetViews>
    <sheetView workbookViewId="0">
      <selection activeCell="E25" sqref="E25"/>
    </sheetView>
  </sheetViews>
  <sheetFormatPr defaultRowHeight="15" x14ac:dyDescent="0.25"/>
  <cols>
    <col min="1" max="1" width="34.140625" bestFit="1" customWidth="1"/>
    <col min="2" max="2" width="14.7109375" style="2" bestFit="1" customWidth="1"/>
    <col min="4" max="4" width="18.42578125" style="90" bestFit="1" customWidth="1"/>
    <col min="5" max="5" width="19.5703125" style="90" customWidth="1"/>
    <col min="6" max="6" width="11.7109375" customWidth="1"/>
    <col min="10" max="10" width="17.85546875" bestFit="1" customWidth="1"/>
  </cols>
  <sheetData>
    <row r="1" spans="1:10" ht="18.75" x14ac:dyDescent="0.3">
      <c r="A1" s="103" t="s">
        <v>1424</v>
      </c>
      <c r="B1" s="103"/>
      <c r="C1" s="103"/>
      <c r="D1" s="103"/>
      <c r="E1" s="103"/>
      <c r="F1" s="103"/>
    </row>
    <row r="2" spans="1:10" ht="30" x14ac:dyDescent="0.25">
      <c r="A2" s="91" t="s">
        <v>24</v>
      </c>
      <c r="B2" s="92" t="s">
        <v>1413</v>
      </c>
      <c r="C2" s="91" t="s">
        <v>1414</v>
      </c>
      <c r="D2" s="91" t="s">
        <v>1420</v>
      </c>
      <c r="E2" s="93" t="s">
        <v>1422</v>
      </c>
      <c r="F2" s="93" t="s">
        <v>1423</v>
      </c>
    </row>
    <row r="3" spans="1:10" x14ac:dyDescent="0.25">
      <c r="A3" s="94" t="s">
        <v>109</v>
      </c>
      <c r="B3" s="92">
        <v>30300</v>
      </c>
      <c r="C3" s="91" t="s">
        <v>1398</v>
      </c>
      <c r="D3" s="91">
        <f>B3*0.2</f>
        <v>6060</v>
      </c>
      <c r="E3" s="92">
        <f>B3*I4</f>
        <v>105216.75</v>
      </c>
      <c r="F3" s="92">
        <f>D3*I4</f>
        <v>21043.350000000002</v>
      </c>
      <c r="I3">
        <v>3.2046999999999999</v>
      </c>
      <c r="J3" t="s">
        <v>1415</v>
      </c>
    </row>
    <row r="4" spans="1:10" x14ac:dyDescent="0.25">
      <c r="A4" s="94" t="s">
        <v>1399</v>
      </c>
      <c r="B4" s="92">
        <v>454000</v>
      </c>
      <c r="C4" s="91" t="s">
        <v>1400</v>
      </c>
      <c r="D4" s="91">
        <f>B4*0.25</f>
        <v>113500</v>
      </c>
      <c r="E4" s="92">
        <f>B4*I6</f>
        <v>199646.5</v>
      </c>
      <c r="F4" s="92">
        <f>D4*I6</f>
        <v>49911.625</v>
      </c>
      <c r="I4">
        <v>3.4725000000000001</v>
      </c>
      <c r="J4" t="s">
        <v>1416</v>
      </c>
    </row>
    <row r="5" spans="1:10" x14ac:dyDescent="0.25">
      <c r="A5" s="94" t="s">
        <v>1401</v>
      </c>
      <c r="B5" s="92">
        <v>33500</v>
      </c>
      <c r="C5" s="91" t="s">
        <v>1398</v>
      </c>
      <c r="D5" s="91">
        <f>B5*0.2</f>
        <v>6700</v>
      </c>
      <c r="E5" s="92">
        <f>B5*I4</f>
        <v>116328.75</v>
      </c>
      <c r="F5" s="92">
        <f>D5*I4</f>
        <v>23265.75</v>
      </c>
      <c r="I5">
        <f>3.6462/100</f>
        <v>3.6462000000000001E-2</v>
      </c>
      <c r="J5" t="s">
        <v>1417</v>
      </c>
    </row>
    <row r="6" spans="1:10" x14ac:dyDescent="0.25">
      <c r="A6" s="94" t="s">
        <v>1402</v>
      </c>
      <c r="B6" s="92">
        <v>1840000</v>
      </c>
      <c r="C6" s="91" t="s">
        <v>1397</v>
      </c>
      <c r="D6" s="91">
        <f>B6*0.2</f>
        <v>368000</v>
      </c>
      <c r="E6" s="92">
        <f>B6*I5</f>
        <v>67090.080000000002</v>
      </c>
      <c r="F6" s="92">
        <f>D6*I5</f>
        <v>13418.016</v>
      </c>
      <c r="I6">
        <f>4.3975/10</f>
        <v>0.43974999999999997</v>
      </c>
      <c r="J6" t="s">
        <v>1418</v>
      </c>
    </row>
    <row r="7" spans="1:10" x14ac:dyDescent="0.25">
      <c r="A7" s="94" t="s">
        <v>1403</v>
      </c>
      <c r="B7" s="92">
        <v>28350</v>
      </c>
      <c r="C7" s="91" t="s">
        <v>1398</v>
      </c>
      <c r="D7" s="91">
        <f>B7*0.2</f>
        <v>5670</v>
      </c>
      <c r="E7" s="92">
        <f>B7*I4</f>
        <v>98445.375</v>
      </c>
      <c r="F7" s="92">
        <f>D7*I4</f>
        <v>19689.075000000001</v>
      </c>
      <c r="I7">
        <f>8.1388/10</f>
        <v>0.81387999999999994</v>
      </c>
      <c r="J7" t="s">
        <v>1419</v>
      </c>
    </row>
    <row r="8" spans="1:10" x14ac:dyDescent="0.25">
      <c r="A8" s="94" t="s">
        <v>1404</v>
      </c>
      <c r="B8" s="92">
        <v>19500</v>
      </c>
      <c r="C8" s="91" t="s">
        <v>1398</v>
      </c>
      <c r="D8" s="91">
        <f>B8*0.3</f>
        <v>5850</v>
      </c>
      <c r="E8" s="92">
        <f>B8*I4</f>
        <v>67713.75</v>
      </c>
      <c r="F8" s="92">
        <f>D8*I4</f>
        <v>20314.125</v>
      </c>
    </row>
    <row r="9" spans="1:10" x14ac:dyDescent="0.25">
      <c r="A9" s="94" t="s">
        <v>1405</v>
      </c>
      <c r="B9" s="92">
        <v>13100</v>
      </c>
      <c r="C9" s="91" t="s">
        <v>1398</v>
      </c>
      <c r="D9" s="91">
        <f>B9*0.26</f>
        <v>3406</v>
      </c>
      <c r="E9" s="92">
        <f>B9*I4</f>
        <v>45489.75</v>
      </c>
      <c r="F9" s="92">
        <f>D9*I4</f>
        <v>11827.335000000001</v>
      </c>
    </row>
    <row r="10" spans="1:10" x14ac:dyDescent="0.25">
      <c r="A10" s="94" t="s">
        <v>1405</v>
      </c>
      <c r="B10" s="92">
        <v>18700</v>
      </c>
      <c r="C10" s="91" t="s">
        <v>1398</v>
      </c>
      <c r="D10" s="91">
        <f>B10*0.26</f>
        <v>4862</v>
      </c>
      <c r="E10" s="92">
        <f>B10*I4</f>
        <v>64935.75</v>
      </c>
      <c r="F10" s="92">
        <f>D10*I4</f>
        <v>16883.295000000002</v>
      </c>
    </row>
    <row r="11" spans="1:10" x14ac:dyDescent="0.25">
      <c r="A11" s="94" t="s">
        <v>1406</v>
      </c>
      <c r="B11" s="92">
        <v>20360</v>
      </c>
      <c r="C11" s="91" t="s">
        <v>1407</v>
      </c>
      <c r="D11" s="91">
        <f>B11*0.2</f>
        <v>4072</v>
      </c>
      <c r="E11" s="92">
        <f>B11*I7</f>
        <v>16570.596799999999</v>
      </c>
      <c r="F11" s="92">
        <f>D11*I7</f>
        <v>3314.1193599999997</v>
      </c>
    </row>
    <row r="12" spans="1:10" x14ac:dyDescent="0.25">
      <c r="A12" s="94" t="s">
        <v>1408</v>
      </c>
      <c r="B12" s="92">
        <v>12760</v>
      </c>
      <c r="C12" s="91" t="s">
        <v>1398</v>
      </c>
      <c r="D12" s="91">
        <f>B12*0.2</f>
        <v>2552</v>
      </c>
      <c r="E12" s="92">
        <f>B12*I4</f>
        <v>44309.1</v>
      </c>
      <c r="F12" s="92">
        <f>D12*I4</f>
        <v>8861.82</v>
      </c>
    </row>
    <row r="13" spans="1:10" x14ac:dyDescent="0.25">
      <c r="A13" s="94" t="s">
        <v>1409</v>
      </c>
      <c r="B13" s="92">
        <v>78100</v>
      </c>
      <c r="C13" s="91" t="s">
        <v>1400</v>
      </c>
      <c r="D13" s="91">
        <f>B13*0.3</f>
        <v>23430</v>
      </c>
      <c r="E13" s="92">
        <f>B13*I6</f>
        <v>34344.474999999999</v>
      </c>
      <c r="F13" s="92">
        <f>D13*I6</f>
        <v>10303.342499999999</v>
      </c>
    </row>
    <row r="14" spans="1:10" x14ac:dyDescent="0.25">
      <c r="A14" s="94" t="s">
        <v>115</v>
      </c>
      <c r="B14" s="92">
        <v>530000</v>
      </c>
      <c r="C14" s="91" t="s">
        <v>1400</v>
      </c>
      <c r="D14" s="91">
        <f>B14*0.3</f>
        <v>159000</v>
      </c>
      <c r="E14" s="92">
        <f>B14*I6</f>
        <v>233067.5</v>
      </c>
      <c r="F14" s="92">
        <f>D14*I6</f>
        <v>69920.25</v>
      </c>
    </row>
    <row r="15" spans="1:10" x14ac:dyDescent="0.25">
      <c r="A15" s="94" t="s">
        <v>1410</v>
      </c>
      <c r="B15" s="92">
        <v>150000</v>
      </c>
      <c r="C15" s="91" t="s">
        <v>1400</v>
      </c>
      <c r="D15" s="91">
        <f>B15*0.23</f>
        <v>34500</v>
      </c>
      <c r="E15" s="92">
        <f>B15*I6</f>
        <v>65962.5</v>
      </c>
      <c r="F15" s="92">
        <f>D15*I6</f>
        <v>15171.375</v>
      </c>
    </row>
    <row r="16" spans="1:10" ht="15.75" x14ac:dyDescent="0.25">
      <c r="E16" s="95">
        <f>SUM(E3:E15)</f>
        <v>1159120.8768</v>
      </c>
      <c r="F16" s="95">
        <f>SUM(F3:F15)</f>
        <v>283923.47785999998</v>
      </c>
    </row>
    <row r="17" spans="1:6" x14ac:dyDescent="0.25">
      <c r="E17" s="3"/>
    </row>
    <row r="18" spans="1:6" ht="18.75" x14ac:dyDescent="0.3">
      <c r="A18" s="103" t="s">
        <v>1425</v>
      </c>
      <c r="B18" s="103"/>
      <c r="C18" s="103"/>
      <c r="D18" s="103"/>
      <c r="E18" s="103"/>
      <c r="F18" s="103"/>
    </row>
    <row r="19" spans="1:6" ht="30" x14ac:dyDescent="0.25">
      <c r="A19" s="91" t="s">
        <v>24</v>
      </c>
      <c r="B19" s="92" t="s">
        <v>1413</v>
      </c>
      <c r="C19" s="91" t="s">
        <v>1414</v>
      </c>
      <c r="D19" s="91" t="s">
        <v>1420</v>
      </c>
      <c r="E19" s="93" t="s">
        <v>1422</v>
      </c>
      <c r="F19" s="93" t="s">
        <v>1423</v>
      </c>
    </row>
    <row r="20" spans="1:6" x14ac:dyDescent="0.25">
      <c r="A20" s="94" t="s">
        <v>1411</v>
      </c>
      <c r="B20" s="92">
        <v>200000</v>
      </c>
      <c r="C20" s="91" t="s">
        <v>1400</v>
      </c>
      <c r="D20" s="92">
        <f>B20*0.3</f>
        <v>60000</v>
      </c>
      <c r="E20" s="92">
        <f>B20*I6</f>
        <v>87950</v>
      </c>
      <c r="F20" s="92">
        <f>D20*I6</f>
        <v>26385</v>
      </c>
    </row>
    <row r="21" spans="1:6" x14ac:dyDescent="0.25">
      <c r="A21" s="94" t="s">
        <v>1402</v>
      </c>
      <c r="B21" s="92">
        <v>61500</v>
      </c>
      <c r="C21" s="91" t="s">
        <v>1398</v>
      </c>
      <c r="D21" s="92">
        <f>B21*0.2</f>
        <v>12300</v>
      </c>
      <c r="E21" s="92">
        <f>B21*I4</f>
        <v>213558.75</v>
      </c>
      <c r="F21" s="92">
        <f>D21*I4</f>
        <v>42711.75</v>
      </c>
    </row>
    <row r="22" spans="1:6" x14ac:dyDescent="0.25">
      <c r="A22" s="94" t="s">
        <v>1412</v>
      </c>
      <c r="B22" s="92">
        <v>540000</v>
      </c>
      <c r="C22" s="91" t="s">
        <v>1400</v>
      </c>
      <c r="D22" s="92">
        <f>B22*0.3</f>
        <v>162000</v>
      </c>
      <c r="E22" s="92">
        <f>B22*I6</f>
        <v>237465</v>
      </c>
      <c r="F22" s="92">
        <f>D22*I6</f>
        <v>71239.5</v>
      </c>
    </row>
    <row r="23" spans="1:6" x14ac:dyDescent="0.25">
      <c r="A23" s="94" t="s">
        <v>1399</v>
      </c>
      <c r="B23" s="92">
        <v>250000</v>
      </c>
      <c r="C23" s="91" t="s">
        <v>1400</v>
      </c>
      <c r="D23" s="92">
        <f>B23*0.2</f>
        <v>50000</v>
      </c>
      <c r="E23" s="92">
        <f>B23*I6</f>
        <v>109937.5</v>
      </c>
      <c r="F23" s="92">
        <f>D23*I6</f>
        <v>21987.5</v>
      </c>
    </row>
    <row r="24" spans="1:6" x14ac:dyDescent="0.25">
      <c r="A24" s="94" t="s">
        <v>1421</v>
      </c>
      <c r="B24" s="92">
        <v>38000</v>
      </c>
      <c r="C24" s="91" t="s">
        <v>1400</v>
      </c>
      <c r="D24" s="92">
        <f>B24*0.26</f>
        <v>9880</v>
      </c>
      <c r="E24" s="92">
        <f>B24*I6</f>
        <v>16710.5</v>
      </c>
      <c r="F24" s="92">
        <f>D24*I6</f>
        <v>4344.7299999999996</v>
      </c>
    </row>
    <row r="25" spans="1:6" ht="15.75" x14ac:dyDescent="0.25">
      <c r="E25" s="95">
        <f>SUM(E20:E24)</f>
        <v>665621.75</v>
      </c>
      <c r="F25" s="95">
        <f>SUM(F20:F24)</f>
        <v>166668.48000000001</v>
      </c>
    </row>
    <row r="26" spans="1:6" x14ac:dyDescent="0.25">
      <c r="E26" s="3"/>
    </row>
    <row r="27" spans="1:6" ht="18.75" x14ac:dyDescent="0.3">
      <c r="A27" s="103" t="s">
        <v>1426</v>
      </c>
      <c r="B27" s="103"/>
      <c r="C27" s="103"/>
      <c r="D27" s="103"/>
      <c r="E27" s="103"/>
      <c r="F27" s="103"/>
    </row>
    <row r="28" spans="1:6" ht="30" x14ac:dyDescent="0.25">
      <c r="A28" s="91" t="s">
        <v>24</v>
      </c>
      <c r="B28" s="92" t="s">
        <v>1413</v>
      </c>
      <c r="C28" s="91" t="s">
        <v>1414</v>
      </c>
      <c r="D28" s="91" t="s">
        <v>1420</v>
      </c>
      <c r="E28" s="93" t="s">
        <v>1422</v>
      </c>
      <c r="F28" s="93" t="s">
        <v>1423</v>
      </c>
    </row>
    <row r="29" spans="1:6" x14ac:dyDescent="0.25">
      <c r="A29" s="94" t="s">
        <v>1338</v>
      </c>
      <c r="B29" s="92">
        <v>13000000</v>
      </c>
      <c r="C29" s="91" t="s">
        <v>1397</v>
      </c>
      <c r="D29" s="91"/>
      <c r="E29" s="92">
        <f>B29*I5</f>
        <v>474006</v>
      </c>
      <c r="F29" s="92"/>
    </row>
    <row r="30" spans="1:6" ht="15.75" x14ac:dyDescent="0.25">
      <c r="E30" s="95">
        <f>SUM(E29)</f>
        <v>474006</v>
      </c>
    </row>
    <row r="32" spans="1:6" x14ac:dyDescent="0.25">
      <c r="A32" s="94" t="s">
        <v>1427</v>
      </c>
      <c r="B32" s="92">
        <f>E16+F16</f>
        <v>1443044.35466</v>
      </c>
    </row>
    <row r="33" spans="1:2" x14ac:dyDescent="0.25">
      <c r="A33" s="94" t="s">
        <v>1428</v>
      </c>
      <c r="B33" s="92">
        <f>E25+F25</f>
        <v>832290.23</v>
      </c>
    </row>
    <row r="34" spans="1:2" x14ac:dyDescent="0.25">
      <c r="A34" s="94" t="s">
        <v>1426</v>
      </c>
      <c r="B34" s="92">
        <f>E30</f>
        <v>474006</v>
      </c>
    </row>
    <row r="35" spans="1:2" ht="21" x14ac:dyDescent="0.25">
      <c r="A35" s="97" t="s">
        <v>1429</v>
      </c>
      <c r="B35" s="96">
        <f>SUM(B32:B34)</f>
        <v>2749340.5846600002</v>
      </c>
    </row>
  </sheetData>
  <mergeCells count="3">
    <mergeCell ref="A1:F1"/>
    <mergeCell ref="A18:F18"/>
    <mergeCell ref="A27:F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B6FF-2C57-4A91-89C6-9E444EA1A317}">
  <sheetPr>
    <tabColor theme="5" tint="0.39997558519241921"/>
  </sheetPr>
  <dimension ref="A1:E29"/>
  <sheetViews>
    <sheetView workbookViewId="0">
      <selection activeCell="B18" sqref="B18"/>
    </sheetView>
  </sheetViews>
  <sheetFormatPr defaultRowHeight="15" x14ac:dyDescent="0.25"/>
  <cols>
    <col min="1" max="1" width="32.7109375" bestFit="1" customWidth="1"/>
    <col min="2" max="2" width="19.140625" customWidth="1"/>
    <col min="3" max="3" width="19.28515625" bestFit="1" customWidth="1"/>
    <col min="4" max="4" width="17.85546875" customWidth="1"/>
    <col min="5" max="5" width="18" customWidth="1"/>
  </cols>
  <sheetData>
    <row r="1" spans="1:3" x14ac:dyDescent="0.25">
      <c r="C1" t="s">
        <v>39</v>
      </c>
    </row>
    <row r="2" spans="1:3" x14ac:dyDescent="0.25">
      <c r="B2" s="4">
        <v>2023</v>
      </c>
      <c r="C2" s="4">
        <v>2024</v>
      </c>
    </row>
    <row r="3" spans="1:3" x14ac:dyDescent="0.25">
      <c r="A3" t="s">
        <v>45</v>
      </c>
      <c r="B3">
        <v>191181.74</v>
      </c>
      <c r="C3">
        <v>186608.1</v>
      </c>
    </row>
    <row r="4" spans="1:3" x14ac:dyDescent="0.25">
      <c r="A4" t="s">
        <v>11</v>
      </c>
      <c r="B4">
        <v>8474.4</v>
      </c>
      <c r="C4">
        <v>5294.55</v>
      </c>
    </row>
    <row r="5" spans="1:3" x14ac:dyDescent="0.25">
      <c r="A5" t="s">
        <v>46</v>
      </c>
      <c r="B5">
        <v>1528.46</v>
      </c>
      <c r="C5">
        <v>2828.22</v>
      </c>
    </row>
    <row r="6" spans="1:3" x14ac:dyDescent="0.25">
      <c r="A6" t="s">
        <v>12</v>
      </c>
      <c r="C6">
        <v>623.72</v>
      </c>
    </row>
    <row r="7" spans="1:3" x14ac:dyDescent="0.25">
      <c r="A7" t="s">
        <v>13</v>
      </c>
      <c r="B7">
        <v>393.5</v>
      </c>
      <c r="C7">
        <v>564.04999999999995</v>
      </c>
    </row>
    <row r="8" spans="1:3" x14ac:dyDescent="0.25">
      <c r="A8" t="s">
        <v>14</v>
      </c>
      <c r="B8">
        <v>47.33</v>
      </c>
      <c r="C8">
        <v>277.44</v>
      </c>
    </row>
    <row r="9" spans="1:3" x14ac:dyDescent="0.25">
      <c r="A9" t="s">
        <v>22</v>
      </c>
      <c r="B9">
        <v>1567.06</v>
      </c>
    </row>
    <row r="10" spans="1:3" x14ac:dyDescent="0.25">
      <c r="A10" t="s">
        <v>15</v>
      </c>
      <c r="B10">
        <v>148.9</v>
      </c>
    </row>
    <row r="11" spans="1:3" x14ac:dyDescent="0.25">
      <c r="A11" t="s">
        <v>16</v>
      </c>
      <c r="B11">
        <v>2432.11</v>
      </c>
      <c r="C11">
        <v>876.84</v>
      </c>
    </row>
    <row r="12" spans="1:3" x14ac:dyDescent="0.25">
      <c r="A12" t="s">
        <v>17</v>
      </c>
      <c r="B12">
        <v>55.33</v>
      </c>
    </row>
    <row r="13" spans="1:3" x14ac:dyDescent="0.25">
      <c r="A13" t="s">
        <v>20</v>
      </c>
      <c r="C13">
        <v>449.71</v>
      </c>
    </row>
    <row r="14" spans="1:3" x14ac:dyDescent="0.25">
      <c r="A14" t="s">
        <v>47</v>
      </c>
      <c r="C14">
        <v>139.03</v>
      </c>
    </row>
    <row r="15" spans="1:3" x14ac:dyDescent="0.25">
      <c r="A15" t="s">
        <v>18</v>
      </c>
      <c r="B15">
        <v>14.7</v>
      </c>
      <c r="C15">
        <v>222.04</v>
      </c>
    </row>
    <row r="16" spans="1:3" x14ac:dyDescent="0.25">
      <c r="A16" t="s">
        <v>19</v>
      </c>
      <c r="B16">
        <v>9788.86</v>
      </c>
      <c r="C16">
        <v>9715.5499999999993</v>
      </c>
    </row>
    <row r="17" spans="1:5" x14ac:dyDescent="0.25">
      <c r="A17" t="s">
        <v>21</v>
      </c>
      <c r="C17">
        <v>338.92</v>
      </c>
    </row>
    <row r="18" spans="1:5" x14ac:dyDescent="0.25">
      <c r="A18" t="s">
        <v>23</v>
      </c>
      <c r="B18">
        <v>118957.93</v>
      </c>
      <c r="C18">
        <v>229603.17</v>
      </c>
      <c r="E18">
        <f>C18-B18</f>
        <v>110645.24000000002</v>
      </c>
    </row>
    <row r="22" spans="1:5" x14ac:dyDescent="0.25">
      <c r="A22" s="104" t="s">
        <v>39</v>
      </c>
      <c r="B22" s="104"/>
      <c r="C22" s="104"/>
      <c r="D22" s="104"/>
      <c r="E22" s="104"/>
    </row>
    <row r="23" spans="1:5" ht="60" x14ac:dyDescent="0.25">
      <c r="A23" s="4" t="s">
        <v>48</v>
      </c>
      <c r="B23" s="5" t="s">
        <v>43</v>
      </c>
      <c r="C23" s="5" t="s">
        <v>1387</v>
      </c>
      <c r="D23" s="5" t="s">
        <v>1391</v>
      </c>
      <c r="E23" s="5" t="s">
        <v>1392</v>
      </c>
    </row>
    <row r="24" spans="1:5" x14ac:dyDescent="0.25">
      <c r="A24" t="s">
        <v>45</v>
      </c>
      <c r="B24" s="3">
        <v>182442.27</v>
      </c>
      <c r="C24" s="3">
        <v>210602.3</v>
      </c>
      <c r="D24" s="3">
        <f>C24-B24</f>
        <v>28160.03</v>
      </c>
      <c r="E24" s="6">
        <f>C24/B24-1</f>
        <v>0.15435035970556599</v>
      </c>
    </row>
    <row r="25" spans="1:5" x14ac:dyDescent="0.25">
      <c r="A25" t="s">
        <v>23</v>
      </c>
      <c r="B25" s="3">
        <f>236187.95+6899.87</f>
        <v>243087.82</v>
      </c>
      <c r="C25" s="3">
        <f>305921.09+18571.23</f>
        <v>324492.32</v>
      </c>
      <c r="D25" s="3">
        <f>C25-B25</f>
        <v>81404.5</v>
      </c>
      <c r="E25" s="6">
        <f>C25/B25-1</f>
        <v>0.33487691814423282</v>
      </c>
    </row>
    <row r="29" spans="1:5" x14ac:dyDescent="0.25">
      <c r="B29" t="s">
        <v>1390</v>
      </c>
    </row>
  </sheetData>
  <mergeCells count="1">
    <mergeCell ref="A22:E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7E8A-8F15-4425-B607-2DB197629B0D}">
  <dimension ref="A1:E16"/>
  <sheetViews>
    <sheetView workbookViewId="0">
      <selection activeCell="E6" sqref="E6"/>
    </sheetView>
  </sheetViews>
  <sheetFormatPr defaultRowHeight="15" x14ac:dyDescent="0.25"/>
  <cols>
    <col min="1" max="1" width="16.5703125" bestFit="1" customWidth="1"/>
    <col min="2" max="2" width="17" customWidth="1"/>
    <col min="3" max="3" width="17.28515625" customWidth="1"/>
    <col min="4" max="4" width="16.5703125" customWidth="1"/>
    <col min="5" max="5" width="13.28515625" customWidth="1"/>
  </cols>
  <sheetData>
    <row r="1" spans="1:5" x14ac:dyDescent="0.25">
      <c r="A1" s="104" t="s">
        <v>40</v>
      </c>
      <c r="B1" s="104"/>
      <c r="C1" s="104"/>
      <c r="D1" s="104"/>
      <c r="E1" s="104"/>
    </row>
    <row r="2" spans="1:5" ht="75" x14ac:dyDescent="0.25">
      <c r="A2" s="4" t="s">
        <v>51</v>
      </c>
      <c r="B2" s="5" t="s">
        <v>43</v>
      </c>
      <c r="C2" s="5" t="s">
        <v>44</v>
      </c>
      <c r="D2" s="5" t="s">
        <v>49</v>
      </c>
      <c r="E2" s="5" t="s">
        <v>50</v>
      </c>
    </row>
    <row r="3" spans="1:5" x14ac:dyDescent="0.25">
      <c r="A3" t="s">
        <v>52</v>
      </c>
      <c r="B3" s="3">
        <v>26395.66</v>
      </c>
      <c r="C3" s="3">
        <v>31814.33</v>
      </c>
      <c r="D3" s="3">
        <f>C3-B3</f>
        <v>5418.6700000000019</v>
      </c>
      <c r="E3" s="6">
        <f>C3/B3-1</f>
        <v>0.20528639935504556</v>
      </c>
    </row>
    <row r="4" spans="1:5" x14ac:dyDescent="0.25">
      <c r="A4" t="s">
        <v>53</v>
      </c>
      <c r="B4" s="3">
        <v>9308.7099999999991</v>
      </c>
      <c r="C4" s="3">
        <v>18804.84</v>
      </c>
      <c r="D4" s="3">
        <f t="shared" ref="D4:D11" si="0">C4-B4</f>
        <v>9496.130000000001</v>
      </c>
      <c r="E4" s="6">
        <f t="shared" ref="E4:E11" si="1">C4/B4-1</f>
        <v>1.0201338316479944</v>
      </c>
    </row>
    <row r="5" spans="1:5" x14ac:dyDescent="0.25">
      <c r="A5" t="s">
        <v>54</v>
      </c>
      <c r="B5" s="3">
        <v>62981.37</v>
      </c>
      <c r="C5" s="3">
        <v>63408.09</v>
      </c>
      <c r="D5" s="3">
        <f t="shared" si="0"/>
        <v>426.71999999999389</v>
      </c>
      <c r="E5" s="6">
        <f t="shared" si="1"/>
        <v>6.7753368972442995E-3</v>
      </c>
    </row>
    <row r="6" spans="1:5" x14ac:dyDescent="0.25">
      <c r="A6" t="s">
        <v>55</v>
      </c>
      <c r="B6" s="3">
        <v>5517.49</v>
      </c>
      <c r="C6" s="3">
        <v>8169.99</v>
      </c>
      <c r="D6" s="3">
        <f t="shared" si="0"/>
        <v>2652.5</v>
      </c>
      <c r="E6" s="6">
        <f t="shared" si="1"/>
        <v>0.48074396147523601</v>
      </c>
    </row>
    <row r="7" spans="1:5" x14ac:dyDescent="0.25">
      <c r="A7" t="s">
        <v>56</v>
      </c>
      <c r="B7" s="3">
        <v>22750.45</v>
      </c>
      <c r="C7" s="3">
        <v>20031.55</v>
      </c>
      <c r="D7" s="3">
        <f t="shared" si="0"/>
        <v>-2718.9000000000015</v>
      </c>
      <c r="E7" s="6">
        <f t="shared" si="1"/>
        <v>-0.1195097239834817</v>
      </c>
    </row>
    <row r="8" spans="1:5" x14ac:dyDescent="0.25">
      <c r="A8" t="s">
        <v>57</v>
      </c>
      <c r="B8" s="3">
        <v>38998.080000000002</v>
      </c>
      <c r="C8" s="3">
        <v>22045.21</v>
      </c>
      <c r="D8" s="3">
        <f t="shared" si="0"/>
        <v>-16952.870000000003</v>
      </c>
      <c r="E8" s="6">
        <f t="shared" si="1"/>
        <v>-0.43471037548515212</v>
      </c>
    </row>
    <row r="9" spans="1:5" x14ac:dyDescent="0.25">
      <c r="A9" t="s">
        <v>58</v>
      </c>
      <c r="B9" s="3">
        <v>20991.09</v>
      </c>
      <c r="C9" s="3">
        <v>3448.78</v>
      </c>
      <c r="D9" s="3">
        <f t="shared" si="0"/>
        <v>-17542.310000000001</v>
      </c>
      <c r="E9" s="6">
        <f t="shared" si="1"/>
        <v>-0.83570267194319114</v>
      </c>
    </row>
    <row r="10" spans="1:5" x14ac:dyDescent="0.25">
      <c r="A10" t="s">
        <v>59</v>
      </c>
      <c r="B10" s="3">
        <v>8794.75</v>
      </c>
      <c r="C10" s="3">
        <v>6954.68</v>
      </c>
      <c r="D10" s="3">
        <f t="shared" si="0"/>
        <v>-1840.0699999999997</v>
      </c>
      <c r="E10" s="6">
        <f t="shared" si="1"/>
        <v>-0.2092236845845532</v>
      </c>
    </row>
    <row r="11" spans="1:5" x14ac:dyDescent="0.25">
      <c r="A11" t="s">
        <v>60</v>
      </c>
      <c r="B11" s="3">
        <v>50522.36</v>
      </c>
      <c r="C11" s="3">
        <v>35005.17</v>
      </c>
      <c r="D11" s="3">
        <f t="shared" si="0"/>
        <v>-15517.190000000002</v>
      </c>
      <c r="E11" s="6">
        <f t="shared" si="1"/>
        <v>-0.30713509820206342</v>
      </c>
    </row>
    <row r="12" spans="1:5" x14ac:dyDescent="0.25">
      <c r="B12" s="3">
        <f>SUM(B3:B11)</f>
        <v>246259.96000000002</v>
      </c>
      <c r="C12" s="3">
        <f>SUM(C3:C11)</f>
        <v>209682.63999999996</v>
      </c>
    </row>
    <row r="16" spans="1:5" x14ac:dyDescent="0.25">
      <c r="C16">
        <f>C12-B12</f>
        <v>-36577.320000000065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8305-40FB-41E9-AE06-ED30C9875F01}">
  <sheetPr>
    <tabColor theme="5" tint="0.39997558519241921"/>
  </sheetPr>
  <dimension ref="A2:N35"/>
  <sheetViews>
    <sheetView workbookViewId="0">
      <selection activeCell="K35" sqref="K35"/>
    </sheetView>
  </sheetViews>
  <sheetFormatPr defaultRowHeight="15" x14ac:dyDescent="0.25"/>
  <cols>
    <col min="1" max="1" width="12.7109375" bestFit="1" customWidth="1"/>
    <col min="2" max="2" width="13.42578125" customWidth="1"/>
    <col min="3" max="3" width="13.28515625" customWidth="1"/>
    <col min="4" max="4" width="15.85546875" customWidth="1"/>
    <col min="5" max="5" width="14.7109375" customWidth="1"/>
    <col min="6" max="6" width="13.85546875" customWidth="1"/>
    <col min="7" max="7" width="15" customWidth="1"/>
    <col min="11" max="11" width="25.85546875" customWidth="1"/>
    <col min="12" max="12" width="20.140625" customWidth="1"/>
    <col min="13" max="13" width="17.7109375" customWidth="1"/>
    <col min="14" max="14" width="21.140625" customWidth="1"/>
  </cols>
  <sheetData>
    <row r="2" spans="1:14" x14ac:dyDescent="0.25">
      <c r="B2" s="9" t="s">
        <v>61</v>
      </c>
      <c r="C2" s="9" t="s">
        <v>62</v>
      </c>
      <c r="D2" s="9" t="s">
        <v>63</v>
      </c>
      <c r="E2" s="9" t="s">
        <v>64</v>
      </c>
      <c r="F2" s="9" t="s">
        <v>65</v>
      </c>
      <c r="G2" s="9" t="s">
        <v>66</v>
      </c>
    </row>
    <row r="3" spans="1:14" x14ac:dyDescent="0.25">
      <c r="A3" t="s">
        <v>32</v>
      </c>
      <c r="B3" s="3">
        <v>230761.44</v>
      </c>
      <c r="C3" s="3">
        <v>281891.17</v>
      </c>
      <c r="D3" s="3">
        <v>340691</v>
      </c>
      <c r="E3" s="3">
        <v>341728.72</v>
      </c>
      <c r="F3" s="3">
        <v>322392.21999999997</v>
      </c>
      <c r="G3" s="3">
        <v>341558.75</v>
      </c>
    </row>
    <row r="4" spans="1:14" x14ac:dyDescent="0.25">
      <c r="A4" t="s">
        <v>33</v>
      </c>
      <c r="B4" s="3">
        <v>224633.94</v>
      </c>
      <c r="C4" s="3">
        <v>247671</v>
      </c>
      <c r="D4" s="3">
        <v>239328.54</v>
      </c>
      <c r="E4" s="3">
        <v>242308.73</v>
      </c>
      <c r="F4" s="3">
        <v>385621.88</v>
      </c>
      <c r="G4" s="3">
        <v>420369.98</v>
      </c>
    </row>
    <row r="5" spans="1:14" x14ac:dyDescent="0.25">
      <c r="B5" s="3">
        <f>SUM(B3:B4)</f>
        <v>455395.38</v>
      </c>
      <c r="C5" s="3">
        <f t="shared" ref="C5:G5" si="0">SUM(C3:C4)</f>
        <v>529562.16999999993</v>
      </c>
      <c r="D5" s="3">
        <f t="shared" si="0"/>
        <v>580019.54</v>
      </c>
      <c r="E5" s="3">
        <f t="shared" si="0"/>
        <v>584037.44999999995</v>
      </c>
      <c r="F5" s="3">
        <f t="shared" si="0"/>
        <v>708014.1</v>
      </c>
      <c r="G5" s="3">
        <f t="shared" si="0"/>
        <v>761928.73</v>
      </c>
    </row>
    <row r="7" spans="1:14" x14ac:dyDescent="0.25">
      <c r="B7" s="9" t="s">
        <v>61</v>
      </c>
      <c r="C7" s="9" t="s">
        <v>62</v>
      </c>
      <c r="D7" s="9" t="s">
        <v>63</v>
      </c>
      <c r="E7" s="9" t="s">
        <v>64</v>
      </c>
      <c r="F7" s="9" t="s">
        <v>65</v>
      </c>
      <c r="G7" s="9" t="s">
        <v>66</v>
      </c>
    </row>
    <row r="8" spans="1:14" x14ac:dyDescent="0.25">
      <c r="A8" t="s">
        <v>32</v>
      </c>
      <c r="B8" s="3">
        <v>156749.87</v>
      </c>
      <c r="C8" s="3">
        <v>198128.22</v>
      </c>
      <c r="D8" s="3">
        <v>270527.13</v>
      </c>
      <c r="E8" s="3">
        <v>258219.02</v>
      </c>
      <c r="F8" s="3">
        <v>269767.73</v>
      </c>
      <c r="G8" s="3">
        <v>252512.88</v>
      </c>
    </row>
    <row r="9" spans="1:14" x14ac:dyDescent="0.25">
      <c r="A9" t="s">
        <v>33</v>
      </c>
      <c r="B9" s="3">
        <v>206388.03</v>
      </c>
      <c r="C9" s="3">
        <v>233226.32</v>
      </c>
      <c r="D9" s="3">
        <v>236251.31</v>
      </c>
      <c r="E9" s="3">
        <v>311042.90000000002</v>
      </c>
      <c r="F9" s="3">
        <v>220842.5</v>
      </c>
      <c r="G9" s="3">
        <v>276344.53999999998</v>
      </c>
    </row>
    <row r="10" spans="1:14" ht="45" x14ac:dyDescent="0.25">
      <c r="B10" s="3">
        <f>SUM(B8:B9)</f>
        <v>363137.9</v>
      </c>
      <c r="C10" s="3">
        <f t="shared" ref="C10:G10" si="1">SUM(C8:C9)</f>
        <v>431354.54000000004</v>
      </c>
      <c r="D10" s="3">
        <f t="shared" si="1"/>
        <v>506778.44</v>
      </c>
      <c r="E10" s="3">
        <f t="shared" si="1"/>
        <v>569261.92000000004</v>
      </c>
      <c r="F10" s="3">
        <f t="shared" si="1"/>
        <v>490610.23</v>
      </c>
      <c r="G10" s="3">
        <f t="shared" si="1"/>
        <v>528857.41999999993</v>
      </c>
      <c r="K10" s="4" t="s">
        <v>67</v>
      </c>
      <c r="L10" s="5" t="s">
        <v>68</v>
      </c>
      <c r="M10" s="5" t="s">
        <v>69</v>
      </c>
      <c r="N10" s="5" t="s">
        <v>129</v>
      </c>
    </row>
    <row r="11" spans="1:14" x14ac:dyDescent="0.25">
      <c r="K11" s="9" t="s">
        <v>70</v>
      </c>
      <c r="L11" s="10">
        <v>363198.23</v>
      </c>
      <c r="M11" s="3">
        <v>339445.01</v>
      </c>
      <c r="N11" s="3">
        <f>M11-L11</f>
        <v>-23753.219999999972</v>
      </c>
    </row>
    <row r="12" spans="1:14" x14ac:dyDescent="0.25">
      <c r="K12" s="9" t="s">
        <v>71</v>
      </c>
      <c r="L12" s="10">
        <v>431354.54</v>
      </c>
      <c r="M12" s="3">
        <v>498878.09</v>
      </c>
      <c r="N12" s="3">
        <f t="shared" ref="N12:N21" si="2">M12-L12</f>
        <v>67523.550000000047</v>
      </c>
    </row>
    <row r="13" spans="1:14" x14ac:dyDescent="0.25">
      <c r="K13" s="9" t="s">
        <v>72</v>
      </c>
      <c r="L13" s="10">
        <v>508669.14</v>
      </c>
      <c r="M13" s="3">
        <v>673961.65</v>
      </c>
      <c r="N13" s="3">
        <f t="shared" si="2"/>
        <v>165292.51</v>
      </c>
    </row>
    <row r="14" spans="1:14" x14ac:dyDescent="0.25">
      <c r="K14" s="9" t="s">
        <v>73</v>
      </c>
      <c r="L14" s="10">
        <v>570126</v>
      </c>
      <c r="M14" s="3">
        <v>441526.68</v>
      </c>
      <c r="N14" s="3">
        <f t="shared" si="2"/>
        <v>-128599.32</v>
      </c>
    </row>
    <row r="15" spans="1:14" x14ac:dyDescent="0.25">
      <c r="K15" s="9" t="s">
        <v>74</v>
      </c>
      <c r="L15" s="10">
        <v>491900.33</v>
      </c>
      <c r="M15" s="3">
        <v>677006.01</v>
      </c>
      <c r="N15" s="3">
        <f t="shared" si="2"/>
        <v>185105.68</v>
      </c>
    </row>
    <row r="16" spans="1:14" x14ac:dyDescent="0.25">
      <c r="K16" s="9" t="s">
        <v>75</v>
      </c>
      <c r="L16" s="10">
        <v>530105.82999999996</v>
      </c>
      <c r="M16" s="3">
        <v>572580.89</v>
      </c>
      <c r="N16" s="3">
        <f t="shared" si="2"/>
        <v>42475.060000000056</v>
      </c>
    </row>
    <row r="17" spans="11:14" x14ac:dyDescent="0.25">
      <c r="K17" s="9" t="s">
        <v>61</v>
      </c>
      <c r="L17" s="3">
        <v>458316.03</v>
      </c>
      <c r="M17" s="3">
        <v>327739</v>
      </c>
      <c r="N17" s="3">
        <f t="shared" si="2"/>
        <v>-130577.03000000003</v>
      </c>
    </row>
    <row r="18" spans="11:14" x14ac:dyDescent="0.25">
      <c r="K18" s="9" t="s">
        <v>62</v>
      </c>
      <c r="L18" s="3">
        <v>531999.19999999995</v>
      </c>
      <c r="M18" s="3">
        <v>521449.94</v>
      </c>
      <c r="N18" s="3">
        <f t="shared" si="2"/>
        <v>-10549.259999999951</v>
      </c>
    </row>
    <row r="19" spans="11:14" x14ac:dyDescent="0.25">
      <c r="K19" s="9" t="s">
        <v>63</v>
      </c>
      <c r="L19" s="3">
        <v>584142.96</v>
      </c>
      <c r="M19" s="3">
        <v>622006.02</v>
      </c>
      <c r="N19" s="3">
        <f t="shared" si="2"/>
        <v>37863.060000000056</v>
      </c>
    </row>
    <row r="20" spans="11:14" x14ac:dyDescent="0.25">
      <c r="K20" s="9" t="s">
        <v>64</v>
      </c>
      <c r="L20" s="3">
        <v>586690.14</v>
      </c>
      <c r="M20" s="3">
        <v>605818.03</v>
      </c>
      <c r="N20" s="3">
        <f t="shared" si="2"/>
        <v>19127.890000000014</v>
      </c>
    </row>
    <row r="21" spans="11:14" x14ac:dyDescent="0.25">
      <c r="K21" s="9" t="s">
        <v>65</v>
      </c>
      <c r="L21" s="3">
        <v>715398.29</v>
      </c>
      <c r="M21" s="3">
        <v>803551.14</v>
      </c>
      <c r="N21" s="3">
        <f t="shared" si="2"/>
        <v>88152.849999999977</v>
      </c>
    </row>
    <row r="22" spans="11:14" x14ac:dyDescent="0.25">
      <c r="K22" s="9" t="s">
        <v>66</v>
      </c>
      <c r="L22" s="3">
        <v>833192.73</v>
      </c>
      <c r="M22" s="3">
        <v>803526.69</v>
      </c>
      <c r="N22" s="3">
        <f t="shared" ref="N22:N28" si="3">M22-L22</f>
        <v>-29666.040000000037</v>
      </c>
    </row>
    <row r="23" spans="11:14" x14ac:dyDescent="0.25">
      <c r="K23" s="9" t="s">
        <v>76</v>
      </c>
      <c r="L23" s="3">
        <v>643791.81999999995</v>
      </c>
      <c r="M23" s="3">
        <v>612995.77</v>
      </c>
      <c r="N23" s="3">
        <f t="shared" si="3"/>
        <v>-30796.04999999993</v>
      </c>
    </row>
    <row r="24" spans="11:14" x14ac:dyDescent="0.25">
      <c r="K24" s="9" t="s">
        <v>77</v>
      </c>
      <c r="L24" s="3">
        <v>734730.46</v>
      </c>
      <c r="M24" s="3">
        <v>907479.13</v>
      </c>
      <c r="N24" s="3">
        <f t="shared" si="3"/>
        <v>172748.67000000004</v>
      </c>
    </row>
    <row r="25" spans="11:14" x14ac:dyDescent="0.25">
      <c r="K25" s="9" t="s">
        <v>78</v>
      </c>
      <c r="L25" s="3">
        <v>596554.6</v>
      </c>
      <c r="M25" s="3">
        <v>620960.03</v>
      </c>
      <c r="N25" s="3">
        <f t="shared" si="3"/>
        <v>24405.430000000051</v>
      </c>
    </row>
    <row r="26" spans="11:14" x14ac:dyDescent="0.25">
      <c r="K26" s="9" t="s">
        <v>1393</v>
      </c>
      <c r="L26" s="3">
        <v>887092.99</v>
      </c>
      <c r="M26" s="3">
        <v>1000074.81</v>
      </c>
      <c r="N26" s="3">
        <f t="shared" si="3"/>
        <v>112981.82000000007</v>
      </c>
    </row>
    <row r="27" spans="11:14" x14ac:dyDescent="0.25">
      <c r="K27" s="9" t="s">
        <v>1394</v>
      </c>
      <c r="L27" s="3">
        <v>796407.39</v>
      </c>
      <c r="M27" s="3">
        <v>815678.87</v>
      </c>
      <c r="N27" s="3">
        <f t="shared" si="3"/>
        <v>19271.479999999981</v>
      </c>
    </row>
    <row r="28" spans="11:14" x14ac:dyDescent="0.25">
      <c r="K28" s="9" t="s">
        <v>1395</v>
      </c>
      <c r="L28" s="3">
        <v>577956.61</v>
      </c>
      <c r="M28" s="3">
        <v>797348.65</v>
      </c>
      <c r="N28" s="3">
        <f t="shared" si="3"/>
        <v>219392.04000000004</v>
      </c>
    </row>
    <row r="29" spans="11:14" x14ac:dyDescent="0.25">
      <c r="K29" s="9" t="s">
        <v>103</v>
      </c>
      <c r="L29" s="3">
        <f>SUM(L11:L28)</f>
        <v>10841627.290000001</v>
      </c>
      <c r="M29" s="3">
        <f>SUM(M11:M28)</f>
        <v>11642026.41</v>
      </c>
      <c r="N29" s="3">
        <f>SUM(N11:N28)</f>
        <v>800399.12000000034</v>
      </c>
    </row>
    <row r="35" spans="11:12" x14ac:dyDescent="0.25">
      <c r="K35">
        <v>137123.07999999999</v>
      </c>
      <c r="L35" t="s">
        <v>1396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82B-0819-4E7B-A402-AFCD6C21ECEF}">
  <dimension ref="A1:F49"/>
  <sheetViews>
    <sheetView topLeftCell="A16" workbookViewId="0">
      <selection activeCell="E38" sqref="E38"/>
    </sheetView>
  </sheetViews>
  <sheetFormatPr defaultRowHeight="15" x14ac:dyDescent="0.25"/>
  <cols>
    <col min="1" max="1" width="32.140625" customWidth="1"/>
    <col min="2" max="2" width="17.85546875" customWidth="1"/>
    <col min="3" max="3" width="16.42578125" customWidth="1"/>
    <col min="4" max="4" width="18.5703125" customWidth="1"/>
    <col min="5" max="5" width="17.5703125" customWidth="1"/>
  </cols>
  <sheetData>
    <row r="1" spans="1:6" x14ac:dyDescent="0.25">
      <c r="A1" s="104" t="s">
        <v>83</v>
      </c>
      <c r="B1" s="104"/>
      <c r="C1" s="104"/>
      <c r="D1" s="104"/>
      <c r="E1" s="104"/>
    </row>
    <row r="2" spans="1:6" ht="30" x14ac:dyDescent="0.25">
      <c r="B2" s="5" t="s">
        <v>79</v>
      </c>
      <c r="C2" s="5" t="s">
        <v>80</v>
      </c>
      <c r="D2" s="5" t="s">
        <v>81</v>
      </c>
      <c r="E2" s="5" t="s">
        <v>82</v>
      </c>
    </row>
    <row r="3" spans="1:6" x14ac:dyDescent="0.25">
      <c r="A3" t="s">
        <v>0</v>
      </c>
      <c r="B3" s="3">
        <v>69296.100000000006</v>
      </c>
      <c r="C3" s="3">
        <v>96980.33</v>
      </c>
      <c r="D3" s="3">
        <v>112682.3</v>
      </c>
      <c r="E3" s="3">
        <v>111003.23</v>
      </c>
    </row>
    <row r="4" spans="1:6" x14ac:dyDescent="0.25">
      <c r="A4" t="s">
        <v>1</v>
      </c>
      <c r="B4" s="3">
        <v>75863.490000000005</v>
      </c>
      <c r="C4" s="3">
        <v>90791.15</v>
      </c>
      <c r="D4" s="3">
        <v>98706.06</v>
      </c>
      <c r="E4" s="3">
        <v>113275.69</v>
      </c>
    </row>
    <row r="5" spans="1:6" x14ac:dyDescent="0.25">
      <c r="A5" t="s">
        <v>2</v>
      </c>
      <c r="B5" s="3">
        <v>75348.47</v>
      </c>
      <c r="C5" s="3">
        <v>80916.509999999995</v>
      </c>
      <c r="D5" s="3">
        <v>94222.76</v>
      </c>
      <c r="E5" s="3">
        <v>95862.53</v>
      </c>
    </row>
    <row r="6" spans="1:6" x14ac:dyDescent="0.25">
      <c r="A6" t="s">
        <v>3</v>
      </c>
      <c r="B6" s="3">
        <v>82325.3</v>
      </c>
      <c r="C6" s="3">
        <v>79862.720000000001</v>
      </c>
      <c r="D6" s="3">
        <v>96809.33</v>
      </c>
      <c r="E6" s="3">
        <v>100529.2</v>
      </c>
    </row>
    <row r="7" spans="1:6" x14ac:dyDescent="0.25">
      <c r="B7" s="3">
        <f>SUM(B3:B6)</f>
        <v>302833.36000000004</v>
      </c>
      <c r="C7" s="3">
        <f t="shared" ref="C7:E7" si="0">SUM(C3:C6)</f>
        <v>348550.70999999996</v>
      </c>
      <c r="D7" s="3">
        <f t="shared" si="0"/>
        <v>402420.45</v>
      </c>
      <c r="E7" s="3">
        <f t="shared" si="0"/>
        <v>420670.64999999997</v>
      </c>
    </row>
    <row r="9" spans="1:6" ht="15.75" customHeight="1" x14ac:dyDescent="0.25">
      <c r="A9" s="104" t="s">
        <v>84</v>
      </c>
      <c r="B9" s="104"/>
      <c r="C9" s="104"/>
      <c r="D9" s="104"/>
      <c r="E9" s="104"/>
    </row>
    <row r="10" spans="1:6" ht="75" x14ac:dyDescent="0.25">
      <c r="A10" s="4" t="s">
        <v>123</v>
      </c>
      <c r="B10" s="5" t="s">
        <v>119</v>
      </c>
      <c r="C10" s="5" t="s">
        <v>120</v>
      </c>
      <c r="D10" s="5" t="s">
        <v>121</v>
      </c>
      <c r="E10" s="5" t="s">
        <v>122</v>
      </c>
    </row>
    <row r="11" spans="1:6" x14ac:dyDescent="0.25">
      <c r="A11" t="s">
        <v>0</v>
      </c>
      <c r="B11" s="3">
        <v>72313.490000000005</v>
      </c>
      <c r="C11" s="3">
        <v>103792.62</v>
      </c>
      <c r="D11" s="3">
        <v>121903.25</v>
      </c>
      <c r="E11" s="3">
        <v>118970.17</v>
      </c>
      <c r="F11" s="12">
        <f t="shared" ref="F11:F14" si="1">E11/B11-1</f>
        <v>0.64520022474368188</v>
      </c>
    </row>
    <row r="12" spans="1:6" x14ac:dyDescent="0.25">
      <c r="A12" t="s">
        <v>1</v>
      </c>
      <c r="B12" s="3">
        <v>80007.600000000006</v>
      </c>
      <c r="C12" s="3">
        <v>100911.6</v>
      </c>
      <c r="D12" s="3">
        <v>110526.48</v>
      </c>
      <c r="E12" s="3">
        <v>122770.05</v>
      </c>
      <c r="F12" s="12">
        <f t="shared" si="1"/>
        <v>0.53447984941430549</v>
      </c>
    </row>
    <row r="13" spans="1:6" x14ac:dyDescent="0.25">
      <c r="A13" t="s">
        <v>2</v>
      </c>
      <c r="B13" s="3">
        <v>78121.509999999995</v>
      </c>
      <c r="C13" s="3">
        <v>87390.97</v>
      </c>
      <c r="D13" s="3">
        <v>103174.37</v>
      </c>
      <c r="E13" s="3">
        <v>104063.57</v>
      </c>
      <c r="F13" s="12">
        <f t="shared" si="1"/>
        <v>0.33207320237409665</v>
      </c>
    </row>
    <row r="14" spans="1:6" x14ac:dyDescent="0.25">
      <c r="A14" t="s">
        <v>3</v>
      </c>
      <c r="B14" s="3">
        <v>85642.61</v>
      </c>
      <c r="C14" s="3">
        <v>87514.57</v>
      </c>
      <c r="D14" s="3">
        <v>106642.6</v>
      </c>
      <c r="E14" s="3">
        <v>110930.35</v>
      </c>
      <c r="F14" s="12">
        <f t="shared" si="1"/>
        <v>0.29527054348296966</v>
      </c>
    </row>
    <row r="15" spans="1:6" x14ac:dyDescent="0.25">
      <c r="A15" t="s">
        <v>103</v>
      </c>
      <c r="B15" s="3">
        <f>SUM(B11:B14)</f>
        <v>316085.21000000002</v>
      </c>
      <c r="C15" s="3">
        <f t="shared" ref="C15:E15" si="2">SUM(C11:C14)</f>
        <v>379609.76</v>
      </c>
      <c r="D15" s="3">
        <f t="shared" si="2"/>
        <v>442246.69999999995</v>
      </c>
      <c r="E15" s="3">
        <f t="shared" si="2"/>
        <v>456734.14</v>
      </c>
      <c r="F15" s="12">
        <f>E15/B15-1</f>
        <v>0.44497156320601006</v>
      </c>
    </row>
    <row r="20" spans="1:6" x14ac:dyDescent="0.25">
      <c r="A20" s="104" t="s">
        <v>125</v>
      </c>
      <c r="B20" s="104"/>
      <c r="C20" s="104"/>
      <c r="D20" s="104"/>
      <c r="E20" s="104"/>
    </row>
    <row r="21" spans="1:6" x14ac:dyDescent="0.25">
      <c r="A21" s="4" t="s">
        <v>124</v>
      </c>
      <c r="B21" s="4" t="s">
        <v>85</v>
      </c>
      <c r="C21" s="4" t="s">
        <v>86</v>
      </c>
      <c r="D21" s="4" t="s">
        <v>87</v>
      </c>
      <c r="E21" s="4" t="s">
        <v>88</v>
      </c>
    </row>
    <row r="22" spans="1:6" x14ac:dyDescent="0.25">
      <c r="A22" s="9" t="s">
        <v>70</v>
      </c>
      <c r="B22" s="3">
        <v>25044.2</v>
      </c>
      <c r="C22" s="3">
        <v>26349.08</v>
      </c>
      <c r="D22" s="3">
        <v>31864.12</v>
      </c>
      <c r="E22" s="3">
        <v>31574.75</v>
      </c>
      <c r="F22" s="2">
        <f>SUM(B22:E22)</f>
        <v>114832.15</v>
      </c>
    </row>
    <row r="23" spans="1:6" x14ac:dyDescent="0.25">
      <c r="A23" s="9" t="s">
        <v>71</v>
      </c>
      <c r="B23" s="3">
        <v>19911.98</v>
      </c>
      <c r="C23" s="3">
        <v>29131.45</v>
      </c>
      <c r="D23" s="3">
        <v>27537.13</v>
      </c>
      <c r="E23" s="3">
        <v>35173.03</v>
      </c>
      <c r="F23" s="2">
        <f t="shared" ref="F23:F36" si="3">SUM(B23:E23)</f>
        <v>111753.59</v>
      </c>
    </row>
    <row r="24" spans="1:6" x14ac:dyDescent="0.25">
      <c r="A24" s="9" t="s">
        <v>89</v>
      </c>
      <c r="B24" s="3">
        <v>34867.06</v>
      </c>
      <c r="C24" s="3">
        <v>43589.98</v>
      </c>
      <c r="D24" s="3">
        <v>58636.54</v>
      </c>
      <c r="E24" s="3">
        <v>55628.9</v>
      </c>
      <c r="F24" s="2">
        <f t="shared" si="3"/>
        <v>192722.48</v>
      </c>
    </row>
    <row r="25" spans="1:6" x14ac:dyDescent="0.25">
      <c r="A25" s="9" t="s">
        <v>90</v>
      </c>
      <c r="B25" s="3">
        <v>43625.56</v>
      </c>
      <c r="C25" s="3">
        <v>44789.26</v>
      </c>
      <c r="D25" s="3">
        <v>56520.02</v>
      </c>
      <c r="E25" s="3">
        <v>58179.48</v>
      </c>
      <c r="F25" s="2">
        <f t="shared" si="3"/>
        <v>203114.32</v>
      </c>
    </row>
    <row r="26" spans="1:6" x14ac:dyDescent="0.25">
      <c r="A26" s="9" t="s">
        <v>74</v>
      </c>
      <c r="B26" s="3">
        <v>35368.44</v>
      </c>
      <c r="C26" s="3">
        <v>49437.14</v>
      </c>
      <c r="D26" s="3">
        <v>44866.97</v>
      </c>
      <c r="E26" s="3">
        <v>54593.21</v>
      </c>
      <c r="F26" s="2">
        <f t="shared" si="3"/>
        <v>184265.76</v>
      </c>
    </row>
    <row r="27" spans="1:6" x14ac:dyDescent="0.25">
      <c r="A27" s="9" t="s">
        <v>75</v>
      </c>
      <c r="B27" s="3">
        <v>37686.03</v>
      </c>
      <c r="C27" s="3">
        <v>39243.699999999997</v>
      </c>
      <c r="D27" s="3">
        <v>44553.61</v>
      </c>
      <c r="E27" s="3">
        <v>52174.25</v>
      </c>
      <c r="F27" s="2">
        <f t="shared" si="3"/>
        <v>173657.59</v>
      </c>
    </row>
    <row r="28" spans="1:6" x14ac:dyDescent="0.25">
      <c r="A28" s="9" t="s">
        <v>61</v>
      </c>
      <c r="B28" s="3">
        <v>26324.67</v>
      </c>
      <c r="C28" s="3">
        <v>31853.759999999998</v>
      </c>
      <c r="D28" s="3">
        <v>37560.120000000003</v>
      </c>
      <c r="E28" s="3">
        <v>50244.36</v>
      </c>
      <c r="F28" s="2">
        <f t="shared" si="3"/>
        <v>145982.90999999997</v>
      </c>
    </row>
    <row r="29" spans="1:6" x14ac:dyDescent="0.25">
      <c r="A29" s="9" t="s">
        <v>62</v>
      </c>
      <c r="B29" s="3">
        <v>35364.65</v>
      </c>
      <c r="C29" s="3">
        <v>49425.05</v>
      </c>
      <c r="D29" s="3">
        <v>40551.730000000003</v>
      </c>
      <c r="E29" s="3">
        <v>56316.97</v>
      </c>
      <c r="F29" s="2">
        <f t="shared" si="3"/>
        <v>181658.40000000002</v>
      </c>
    </row>
    <row r="30" spans="1:6" x14ac:dyDescent="0.25">
      <c r="A30" s="9" t="s">
        <v>91</v>
      </c>
      <c r="B30" s="3">
        <v>36322.239999999998</v>
      </c>
      <c r="C30" s="3">
        <v>39981.910000000003</v>
      </c>
      <c r="D30" s="3">
        <v>51058.12</v>
      </c>
      <c r="E30" s="3">
        <v>53106.21</v>
      </c>
      <c r="F30" s="2">
        <f t="shared" si="3"/>
        <v>180468.47999999998</v>
      </c>
    </row>
    <row r="31" spans="1:6" x14ac:dyDescent="0.25">
      <c r="A31" s="9" t="s">
        <v>64</v>
      </c>
      <c r="B31" s="3">
        <v>38900.629999999997</v>
      </c>
      <c r="C31" s="3">
        <v>56214.53</v>
      </c>
      <c r="D31" s="3">
        <v>45420.4</v>
      </c>
      <c r="E31" s="3">
        <v>58666.15</v>
      </c>
      <c r="F31" s="2">
        <f t="shared" si="3"/>
        <v>199201.71</v>
      </c>
    </row>
    <row r="32" spans="1:6" x14ac:dyDescent="0.25">
      <c r="A32" s="9" t="s">
        <v>65</v>
      </c>
      <c r="B32" s="3">
        <v>41111.25</v>
      </c>
      <c r="C32" s="3">
        <v>40204.870000000003</v>
      </c>
      <c r="D32" s="3">
        <v>47123.47</v>
      </c>
      <c r="E32" s="3">
        <v>63994.01</v>
      </c>
      <c r="F32" s="2">
        <f t="shared" si="3"/>
        <v>192433.6</v>
      </c>
    </row>
    <row r="33" spans="1:6" x14ac:dyDescent="0.25">
      <c r="A33" s="9" t="s">
        <v>66</v>
      </c>
      <c r="B33" s="3">
        <v>36003.07</v>
      </c>
      <c r="C33" s="3">
        <v>34567.480000000003</v>
      </c>
      <c r="D33" s="3">
        <v>35378.76</v>
      </c>
      <c r="E33" s="3">
        <v>60131.93</v>
      </c>
      <c r="F33" s="2">
        <f t="shared" si="3"/>
        <v>166081.24</v>
      </c>
    </row>
    <row r="34" spans="1:6" x14ac:dyDescent="0.25">
      <c r="A34" s="9" t="s">
        <v>76</v>
      </c>
      <c r="B34" s="3">
        <v>23255.42</v>
      </c>
      <c r="C34" s="3">
        <v>30405.53</v>
      </c>
      <c r="D34" s="3">
        <v>36916.080000000002</v>
      </c>
      <c r="E34" s="3">
        <v>40106.47</v>
      </c>
      <c r="F34" s="2">
        <f t="shared" si="3"/>
        <v>130683.5</v>
      </c>
    </row>
    <row r="35" spans="1:6" x14ac:dyDescent="0.25">
      <c r="A35" s="9" t="s">
        <v>77</v>
      </c>
      <c r="B35" s="3">
        <v>23536.07</v>
      </c>
      <c r="C35" s="3">
        <v>30744.06</v>
      </c>
      <c r="D35" s="3">
        <v>31495.37</v>
      </c>
      <c r="E35" s="3">
        <v>46247.27</v>
      </c>
      <c r="F35" s="2">
        <f t="shared" si="3"/>
        <v>132022.76999999999</v>
      </c>
    </row>
    <row r="36" spans="1:6" x14ac:dyDescent="0.25">
      <c r="A36" s="9" t="s">
        <v>78</v>
      </c>
      <c r="B36" s="3">
        <v>44767.64</v>
      </c>
      <c r="C36" s="3">
        <v>47592.17</v>
      </c>
      <c r="D36" s="3">
        <v>56514.44</v>
      </c>
      <c r="E36" s="3">
        <v>61383.79</v>
      </c>
      <c r="F36" s="2">
        <f t="shared" si="3"/>
        <v>210258.04</v>
      </c>
    </row>
    <row r="37" spans="1:6" ht="45" x14ac:dyDescent="0.25">
      <c r="A37" s="17" t="s">
        <v>126</v>
      </c>
      <c r="B37" s="3">
        <f>AVERAGE(B31:B36)</f>
        <v>34595.68</v>
      </c>
      <c r="C37" s="3">
        <f t="shared" ref="C37:E37" si="4">AVERAGE(C31:C36)</f>
        <v>39954.773333333338</v>
      </c>
      <c r="D37" s="3">
        <f t="shared" si="4"/>
        <v>42141.420000000006</v>
      </c>
      <c r="E37" s="3">
        <f t="shared" si="4"/>
        <v>55088.27</v>
      </c>
      <c r="F37" s="2"/>
    </row>
    <row r="38" spans="1:6" x14ac:dyDescent="0.25">
      <c r="A38" s="11"/>
      <c r="B38" s="3"/>
      <c r="C38" s="3"/>
      <c r="D38" s="3"/>
      <c r="E38" s="3"/>
    </row>
    <row r="39" spans="1:6" x14ac:dyDescent="0.25">
      <c r="A39" s="104" t="s">
        <v>127</v>
      </c>
      <c r="B39" s="104"/>
      <c r="C39" s="3"/>
      <c r="D39" s="3"/>
      <c r="E39" s="3"/>
    </row>
    <row r="40" spans="1:6" x14ac:dyDescent="0.25">
      <c r="A40" s="4" t="s">
        <v>123</v>
      </c>
      <c r="B40" s="4" t="s">
        <v>128</v>
      </c>
      <c r="C40" s="3"/>
      <c r="D40" s="3"/>
      <c r="E40" s="3"/>
    </row>
    <row r="41" spans="1:6" x14ac:dyDescent="0.25">
      <c r="A41" t="s">
        <v>0</v>
      </c>
      <c r="B41" s="12">
        <f>E11/E37</f>
        <v>2.1596279934004099</v>
      </c>
      <c r="C41" s="3"/>
      <c r="D41" s="3"/>
      <c r="E41" s="3"/>
    </row>
    <row r="42" spans="1:6" x14ac:dyDescent="0.25">
      <c r="A42" t="s">
        <v>1</v>
      </c>
      <c r="B42" s="12">
        <f>E12/B37</f>
        <v>3.548710417023166</v>
      </c>
      <c r="C42" s="3"/>
      <c r="D42" s="3"/>
      <c r="E42" s="3"/>
    </row>
    <row r="43" spans="1:6" x14ac:dyDescent="0.25">
      <c r="A43" t="s">
        <v>2</v>
      </c>
      <c r="B43" s="12">
        <f>E13/D37</f>
        <v>2.4693892612066701</v>
      </c>
      <c r="C43" s="3"/>
      <c r="D43" s="3"/>
      <c r="E43" s="3"/>
    </row>
    <row r="44" spans="1:6" x14ac:dyDescent="0.25">
      <c r="A44" t="s">
        <v>3</v>
      </c>
      <c r="B44" s="12">
        <f>E14/C37</f>
        <v>2.7763979305935242</v>
      </c>
      <c r="C44" s="3"/>
      <c r="D44" s="3"/>
      <c r="E44" s="3"/>
    </row>
    <row r="45" spans="1:6" x14ac:dyDescent="0.25">
      <c r="B45" s="3"/>
      <c r="C45" s="3"/>
      <c r="D45" s="3"/>
      <c r="E45" s="3"/>
    </row>
    <row r="46" spans="1:6" x14ac:dyDescent="0.25">
      <c r="B46" s="3"/>
      <c r="C46" s="3"/>
      <c r="D46" s="3"/>
      <c r="E46" s="3"/>
    </row>
    <row r="47" spans="1:6" x14ac:dyDescent="0.25">
      <c r="B47" s="3"/>
      <c r="C47" s="3"/>
      <c r="D47" s="3"/>
      <c r="E47" s="3"/>
    </row>
    <row r="48" spans="1:6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</sheetData>
  <mergeCells count="4">
    <mergeCell ref="A1:E1"/>
    <mergeCell ref="A9:E9"/>
    <mergeCell ref="A20:E20"/>
    <mergeCell ref="A39:B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F007-5128-457B-BABE-39BB8692A5FD}">
  <dimension ref="B1:F16"/>
  <sheetViews>
    <sheetView workbookViewId="0">
      <selection activeCell="D34" sqref="D34"/>
    </sheetView>
  </sheetViews>
  <sheetFormatPr defaultRowHeight="15" x14ac:dyDescent="0.25"/>
  <cols>
    <col min="2" max="2" width="41.28515625" bestFit="1" customWidth="1"/>
    <col min="3" max="3" width="17.7109375" customWidth="1"/>
    <col min="4" max="4" width="17.5703125" customWidth="1"/>
    <col min="5" max="5" width="20.7109375" customWidth="1"/>
    <col min="6" max="6" width="21.5703125" customWidth="1"/>
  </cols>
  <sheetData>
    <row r="1" spans="2:6" ht="60" x14ac:dyDescent="0.25">
      <c r="B1" s="4" t="s">
        <v>24</v>
      </c>
      <c r="C1" s="5" t="s">
        <v>106</v>
      </c>
      <c r="D1" s="5" t="s">
        <v>105</v>
      </c>
      <c r="E1" s="5" t="s">
        <v>107</v>
      </c>
      <c r="F1" s="5" t="s">
        <v>108</v>
      </c>
    </row>
    <row r="2" spans="2:6" x14ac:dyDescent="0.25">
      <c r="B2" t="s">
        <v>26</v>
      </c>
      <c r="C2" s="3">
        <v>29384.78</v>
      </c>
      <c r="D2" s="3">
        <v>18442.93</v>
      </c>
      <c r="E2" s="3">
        <f>D2-C2</f>
        <v>-10941.849999999999</v>
      </c>
      <c r="F2" s="6">
        <f>D2/C2-1</f>
        <v>-0.37236453701542083</v>
      </c>
    </row>
    <row r="3" spans="2:6" x14ac:dyDescent="0.25">
      <c r="B3" t="s">
        <v>92</v>
      </c>
      <c r="C3" s="3">
        <v>8111.01</v>
      </c>
      <c r="D3" s="3">
        <v>10910.05</v>
      </c>
      <c r="E3" s="3">
        <f t="shared" ref="E3:E15" si="0">D3-C3</f>
        <v>2799.0399999999991</v>
      </c>
      <c r="F3" s="6">
        <f t="shared" ref="F3:F15" si="1">D3/C3-1</f>
        <v>0.34509142511228541</v>
      </c>
    </row>
    <row r="4" spans="2:6" x14ac:dyDescent="0.25">
      <c r="B4" t="s">
        <v>25</v>
      </c>
      <c r="C4" s="3">
        <v>10650.22</v>
      </c>
      <c r="D4" s="3">
        <v>24253.46</v>
      </c>
      <c r="E4" s="3">
        <f t="shared" si="0"/>
        <v>13603.24</v>
      </c>
      <c r="F4" s="6">
        <f t="shared" si="1"/>
        <v>1.2772731455312663</v>
      </c>
    </row>
    <row r="5" spans="2:6" x14ac:dyDescent="0.25">
      <c r="B5" t="s">
        <v>104</v>
      </c>
      <c r="C5" s="3">
        <v>10071.49</v>
      </c>
      <c r="D5" s="3">
        <v>0</v>
      </c>
      <c r="E5" s="3">
        <f t="shared" si="0"/>
        <v>-10071.49</v>
      </c>
      <c r="F5" s="6">
        <f t="shared" si="1"/>
        <v>-1</v>
      </c>
    </row>
    <row r="6" spans="2:6" x14ac:dyDescent="0.25">
      <c r="B6" t="s">
        <v>93</v>
      </c>
      <c r="C6" s="3">
        <v>5668.59</v>
      </c>
      <c r="D6" s="3">
        <v>8323.16</v>
      </c>
      <c r="E6" s="3">
        <f t="shared" si="0"/>
        <v>2654.5699999999997</v>
      </c>
      <c r="F6" s="6">
        <f t="shared" si="1"/>
        <v>0.46829458472036256</v>
      </c>
    </row>
    <row r="7" spans="2:6" x14ac:dyDescent="0.25">
      <c r="B7" t="s">
        <v>94</v>
      </c>
      <c r="C7" s="3">
        <v>44595.59</v>
      </c>
      <c r="D7" s="3">
        <v>45955.45</v>
      </c>
      <c r="E7" s="3">
        <f t="shared" si="0"/>
        <v>1359.8600000000006</v>
      </c>
      <c r="F7" s="6">
        <f t="shared" si="1"/>
        <v>3.0493149658968433E-2</v>
      </c>
    </row>
    <row r="8" spans="2:6" x14ac:dyDescent="0.25">
      <c r="B8" t="s">
        <v>95</v>
      </c>
      <c r="C8" s="3">
        <v>192.84</v>
      </c>
      <c r="D8" s="3">
        <v>463.77</v>
      </c>
      <c r="E8" s="3">
        <f t="shared" si="0"/>
        <v>270.92999999999995</v>
      </c>
      <c r="F8" s="6">
        <f t="shared" si="1"/>
        <v>1.4049471064094585</v>
      </c>
    </row>
    <row r="9" spans="2:6" x14ac:dyDescent="0.25">
      <c r="B9" t="s">
        <v>96</v>
      </c>
      <c r="C9" s="3">
        <v>950.83</v>
      </c>
      <c r="D9" s="3">
        <v>3583.69</v>
      </c>
      <c r="E9" s="3">
        <f t="shared" si="0"/>
        <v>2632.86</v>
      </c>
      <c r="F9" s="6">
        <f t="shared" si="1"/>
        <v>2.7690123365901371</v>
      </c>
    </row>
    <row r="10" spans="2:6" x14ac:dyDescent="0.25">
      <c r="B10" t="s">
        <v>97</v>
      </c>
      <c r="C10" s="3">
        <v>39395.26</v>
      </c>
      <c r="D10" s="3">
        <v>49166.5</v>
      </c>
      <c r="E10" s="3">
        <f t="shared" si="0"/>
        <v>9771.239999999998</v>
      </c>
      <c r="F10" s="6">
        <f t="shared" si="1"/>
        <v>0.24803085447335538</v>
      </c>
    </row>
    <row r="11" spans="2:6" x14ac:dyDescent="0.25">
      <c r="B11" t="s">
        <v>98</v>
      </c>
      <c r="C11" s="3">
        <v>14217.6</v>
      </c>
      <c r="D11" s="3">
        <v>24269.15</v>
      </c>
      <c r="E11" s="3">
        <f t="shared" si="0"/>
        <v>10051.550000000001</v>
      </c>
      <c r="F11" s="6">
        <f t="shared" si="1"/>
        <v>0.70697937767274377</v>
      </c>
    </row>
    <row r="12" spans="2:6" x14ac:dyDescent="0.25">
      <c r="B12" t="s">
        <v>99</v>
      </c>
      <c r="C12" s="3">
        <v>1962.65</v>
      </c>
      <c r="D12" s="3">
        <v>2038</v>
      </c>
      <c r="E12" s="3">
        <f t="shared" si="0"/>
        <v>75.349999999999909</v>
      </c>
      <c r="F12" s="6">
        <f t="shared" si="1"/>
        <v>3.8391970040506429E-2</v>
      </c>
    </row>
    <row r="13" spans="2:6" x14ac:dyDescent="0.25">
      <c r="B13" s="13" t="s">
        <v>100</v>
      </c>
      <c r="C13" s="3">
        <f>122607.46+99596</f>
        <v>222203.46000000002</v>
      </c>
      <c r="D13" s="3">
        <v>341527.72</v>
      </c>
      <c r="E13" s="3">
        <f t="shared" si="0"/>
        <v>119324.25999999995</v>
      </c>
      <c r="F13" s="6">
        <f t="shared" si="1"/>
        <v>0.53700450929071919</v>
      </c>
    </row>
    <row r="14" spans="2:6" x14ac:dyDescent="0.25">
      <c r="B14" t="s">
        <v>101</v>
      </c>
      <c r="C14" s="3">
        <v>65540.899999999994</v>
      </c>
      <c r="D14" s="3">
        <v>114006.34</v>
      </c>
      <c r="E14" s="3">
        <f t="shared" si="0"/>
        <v>48465.440000000002</v>
      </c>
      <c r="F14" s="6">
        <f t="shared" si="1"/>
        <v>0.73946863714108302</v>
      </c>
    </row>
    <row r="15" spans="2:6" x14ac:dyDescent="0.25">
      <c r="B15" t="s">
        <v>102</v>
      </c>
      <c r="C15" s="3">
        <v>37487.31</v>
      </c>
      <c r="D15" s="3">
        <v>42696.1</v>
      </c>
      <c r="E15" s="3">
        <f t="shared" si="0"/>
        <v>5208.7900000000009</v>
      </c>
      <c r="F15" s="6">
        <f t="shared" si="1"/>
        <v>0.13894808669920566</v>
      </c>
    </row>
    <row r="16" spans="2:6" x14ac:dyDescent="0.25">
      <c r="B16" t="s">
        <v>103</v>
      </c>
      <c r="C16" s="3">
        <f>SUM(C2:C15)</f>
        <v>490432.52999999997</v>
      </c>
      <c r="D16" s="3">
        <f>SUM(D2:D15)</f>
        <v>685636.32</v>
      </c>
      <c r="E16" s="3">
        <f>SUM(E2:E15)</f>
        <v>195203.78999999995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115F-CBC2-45D4-830F-E333926A6F1B}">
  <dimension ref="B1:E15"/>
  <sheetViews>
    <sheetView workbookViewId="0">
      <selection activeCell="B1" sqref="B1:E15"/>
    </sheetView>
  </sheetViews>
  <sheetFormatPr defaultRowHeight="15" x14ac:dyDescent="0.25"/>
  <cols>
    <col min="2" max="2" width="41.28515625" bestFit="1" customWidth="1"/>
    <col min="3" max="3" width="17.5703125" customWidth="1"/>
  </cols>
  <sheetData>
    <row r="1" spans="2:5" ht="60" x14ac:dyDescent="0.25">
      <c r="B1" s="4" t="s">
        <v>24</v>
      </c>
      <c r="C1" s="5" t="s">
        <v>105</v>
      </c>
      <c r="D1" s="4" t="s">
        <v>1385</v>
      </c>
    </row>
    <row r="2" spans="2:5" x14ac:dyDescent="0.25">
      <c r="B2" s="13" t="s">
        <v>100</v>
      </c>
      <c r="C2" s="3">
        <v>341527.72</v>
      </c>
      <c r="D2" s="6">
        <f>C2/$C$15</f>
        <v>0.49811789433791953</v>
      </c>
      <c r="E2" s="105">
        <f>SUM(D2:D5)</f>
        <v>0.80313133061562436</v>
      </c>
    </row>
    <row r="3" spans="2:5" x14ac:dyDescent="0.25">
      <c r="B3" t="s">
        <v>101</v>
      </c>
      <c r="C3" s="3">
        <v>114006.34</v>
      </c>
      <c r="D3" s="6">
        <f t="shared" ref="D3:D14" si="0">C3/$C$15</f>
        <v>0.16627815165917698</v>
      </c>
      <c r="E3" s="106"/>
    </row>
    <row r="4" spans="2:5" x14ac:dyDescent="0.25">
      <c r="B4" t="s">
        <v>97</v>
      </c>
      <c r="C4" s="3">
        <v>49166.5</v>
      </c>
      <c r="D4" s="6">
        <f t="shared" si="0"/>
        <v>7.1709299180650179E-2</v>
      </c>
      <c r="E4" s="106"/>
    </row>
    <row r="5" spans="2:5" x14ac:dyDescent="0.25">
      <c r="B5" t="s">
        <v>94</v>
      </c>
      <c r="C5" s="3">
        <v>45955.45</v>
      </c>
      <c r="D5" s="6">
        <f t="shared" si="0"/>
        <v>6.7025985437877619E-2</v>
      </c>
      <c r="E5" s="106"/>
    </row>
    <row r="6" spans="2:5" x14ac:dyDescent="0.25">
      <c r="B6" t="s">
        <v>102</v>
      </c>
      <c r="C6" s="3">
        <v>42696.1</v>
      </c>
      <c r="D6" s="6">
        <f t="shared" si="0"/>
        <v>6.227222618545062E-2</v>
      </c>
    </row>
    <row r="7" spans="2:5" x14ac:dyDescent="0.25">
      <c r="B7" t="s">
        <v>98</v>
      </c>
      <c r="C7" s="3">
        <v>24269.15</v>
      </c>
      <c r="D7" s="6">
        <f t="shared" si="0"/>
        <v>3.5396535002696475E-2</v>
      </c>
    </row>
    <row r="8" spans="2:5" x14ac:dyDescent="0.25">
      <c r="B8" t="s">
        <v>25</v>
      </c>
      <c r="C8" s="3">
        <v>24253.46</v>
      </c>
      <c r="D8" s="6">
        <f t="shared" si="0"/>
        <v>3.5373651150802515E-2</v>
      </c>
    </row>
    <row r="9" spans="2:5" x14ac:dyDescent="0.25">
      <c r="B9" t="s">
        <v>26</v>
      </c>
      <c r="C9" s="3">
        <v>18442.93</v>
      </c>
      <c r="D9" s="6">
        <f t="shared" si="0"/>
        <v>2.6898997999405868E-2</v>
      </c>
    </row>
    <row r="10" spans="2:5" x14ac:dyDescent="0.25">
      <c r="B10" t="s">
        <v>92</v>
      </c>
      <c r="C10" s="3">
        <v>10910.05</v>
      </c>
      <c r="D10" s="6">
        <f t="shared" si="0"/>
        <v>1.5912298811708223E-2</v>
      </c>
    </row>
    <row r="11" spans="2:5" x14ac:dyDescent="0.25">
      <c r="B11" t="s">
        <v>93</v>
      </c>
      <c r="C11" s="3">
        <v>8323.16</v>
      </c>
      <c r="D11" s="6">
        <f t="shared" si="0"/>
        <v>1.2139321907567557E-2</v>
      </c>
    </row>
    <row r="12" spans="2:5" x14ac:dyDescent="0.25">
      <c r="B12" t="s">
        <v>96</v>
      </c>
      <c r="C12" s="3">
        <v>3583.69</v>
      </c>
      <c r="D12" s="6">
        <f t="shared" si="0"/>
        <v>5.2268088715020236E-3</v>
      </c>
    </row>
    <row r="13" spans="2:5" x14ac:dyDescent="0.25">
      <c r="B13" t="s">
        <v>99</v>
      </c>
      <c r="C13" s="3">
        <v>2038</v>
      </c>
      <c r="D13" s="6">
        <f t="shared" si="0"/>
        <v>2.9724212976348745E-3</v>
      </c>
    </row>
    <row r="14" spans="2:5" x14ac:dyDescent="0.25">
      <c r="B14" t="s">
        <v>95</v>
      </c>
      <c r="C14" s="3">
        <v>463.77</v>
      </c>
      <c r="D14" s="6">
        <f t="shared" si="0"/>
        <v>6.7640815760752E-4</v>
      </c>
    </row>
    <row r="15" spans="2:5" x14ac:dyDescent="0.25">
      <c r="B15" t="s">
        <v>103</v>
      </c>
      <c r="C15" s="3">
        <f>SUM(C2:C14)</f>
        <v>685636.32</v>
      </c>
    </row>
  </sheetData>
  <sortState xmlns:xlrd2="http://schemas.microsoft.com/office/spreadsheetml/2017/richdata2" ref="B2:C14">
    <sortCondition descending="1" ref="C2:C14"/>
  </sortState>
  <mergeCells count="1">
    <mergeCell ref="E2:E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2B51-BA28-4E84-861B-F1A206E0A7A2}">
  <dimension ref="B1:F9"/>
  <sheetViews>
    <sheetView workbookViewId="0">
      <selection activeCell="B1" sqref="B1"/>
    </sheetView>
  </sheetViews>
  <sheetFormatPr defaultRowHeight="15" x14ac:dyDescent="0.25"/>
  <cols>
    <col min="2" max="2" width="29.42578125" bestFit="1" customWidth="1"/>
    <col min="3" max="3" width="17" customWidth="1"/>
    <col min="4" max="4" width="19.28515625" customWidth="1"/>
    <col min="5" max="5" width="16.7109375" customWidth="1"/>
    <col min="6" max="6" width="17.42578125" customWidth="1"/>
  </cols>
  <sheetData>
    <row r="1" spans="2:6" ht="90" x14ac:dyDescent="0.25">
      <c r="B1" s="4" t="s">
        <v>1386</v>
      </c>
      <c r="C1" s="5" t="s">
        <v>106</v>
      </c>
      <c r="D1" s="5" t="s">
        <v>105</v>
      </c>
      <c r="E1" s="5" t="s">
        <v>107</v>
      </c>
      <c r="F1" s="5" t="s">
        <v>108</v>
      </c>
    </row>
    <row r="2" spans="2:6" ht="15.75" x14ac:dyDescent="0.25">
      <c r="B2" s="14" t="s">
        <v>109</v>
      </c>
      <c r="C2" s="3" t="s">
        <v>116</v>
      </c>
      <c r="D2" s="3" t="s">
        <v>116</v>
      </c>
      <c r="E2" s="3" t="s">
        <v>116</v>
      </c>
      <c r="F2" s="6" t="s">
        <v>116</v>
      </c>
    </row>
    <row r="3" spans="2:6" x14ac:dyDescent="0.25">
      <c r="B3" t="s">
        <v>110</v>
      </c>
      <c r="C3" s="3">
        <v>11022.77</v>
      </c>
      <c r="D3" s="3">
        <v>13214.04</v>
      </c>
      <c r="E3" s="3">
        <f t="shared" ref="E3:E8" si="0">D3-C3</f>
        <v>2191.2700000000004</v>
      </c>
      <c r="F3" s="6">
        <f t="shared" ref="F3:F8" si="1">D3/C3-1</f>
        <v>0.19879485827972454</v>
      </c>
    </row>
    <row r="4" spans="2:6" x14ac:dyDescent="0.25">
      <c r="B4" t="s">
        <v>111</v>
      </c>
      <c r="C4" s="3">
        <f>16901.43+622.61</f>
        <v>17524.04</v>
      </c>
      <c r="D4" s="3">
        <f>10764.73+1165.06</f>
        <v>11929.789999999999</v>
      </c>
      <c r="E4" s="3">
        <f t="shared" si="0"/>
        <v>-5594.2500000000018</v>
      </c>
      <c r="F4" s="6">
        <f t="shared" si="1"/>
        <v>-0.3192328937847666</v>
      </c>
    </row>
    <row r="5" spans="2:6" x14ac:dyDescent="0.25">
      <c r="B5" t="s">
        <v>112</v>
      </c>
      <c r="C5" s="3">
        <v>9460.57</v>
      </c>
      <c r="D5" s="3">
        <v>19845.36</v>
      </c>
      <c r="E5" s="3">
        <f t="shared" si="0"/>
        <v>10384.790000000001</v>
      </c>
      <c r="F5" s="6">
        <f t="shared" si="1"/>
        <v>1.097691788126931</v>
      </c>
    </row>
    <row r="6" spans="2:6" x14ac:dyDescent="0.25">
      <c r="B6" t="s">
        <v>113</v>
      </c>
      <c r="C6" s="3" t="s">
        <v>116</v>
      </c>
      <c r="D6" s="3" t="s">
        <v>116</v>
      </c>
      <c r="E6" s="3" t="s">
        <v>116</v>
      </c>
      <c r="F6" s="6" t="s">
        <v>116</v>
      </c>
    </row>
    <row r="7" spans="2:6" x14ac:dyDescent="0.25">
      <c r="B7" t="s">
        <v>114</v>
      </c>
      <c r="C7" s="3">
        <v>1387.88</v>
      </c>
      <c r="D7" s="3">
        <v>4177.3100000000004</v>
      </c>
      <c r="E7" s="3">
        <f t="shared" si="0"/>
        <v>2789.4300000000003</v>
      </c>
      <c r="F7" s="6">
        <f t="shared" si="1"/>
        <v>2.009849554716546</v>
      </c>
    </row>
    <row r="8" spans="2:6" x14ac:dyDescent="0.25">
      <c r="B8" t="s">
        <v>115</v>
      </c>
      <c r="C8" s="3">
        <v>44595.59</v>
      </c>
      <c r="D8" s="3">
        <v>45955.45</v>
      </c>
      <c r="E8" s="3">
        <f t="shared" si="0"/>
        <v>1359.8600000000006</v>
      </c>
      <c r="F8" s="6">
        <f t="shared" si="1"/>
        <v>3.0493149658968433E-2</v>
      </c>
    </row>
    <row r="9" spans="2:6" x14ac:dyDescent="0.25">
      <c r="B9" t="s">
        <v>103</v>
      </c>
      <c r="C9" s="3">
        <f>SUM(C2:C8)</f>
        <v>83990.85</v>
      </c>
      <c r="D9" s="3">
        <f t="shared" ref="D9:E9" si="2">SUM(D2:D8)</f>
        <v>95121.95</v>
      </c>
      <c r="E9" s="3">
        <f t="shared" si="2"/>
        <v>11131.1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9FA8-6A48-4533-90B8-A5D1D938B885}">
  <sheetPr>
    <outlinePr summaryBelow="0" summaryRight="0"/>
    <pageSetUpPr autoPageBreaks="0" fitToPage="1"/>
  </sheetPr>
  <dimension ref="A1:L1718"/>
  <sheetViews>
    <sheetView workbookViewId="0">
      <selection activeCell="I1719" sqref="I1719"/>
    </sheetView>
  </sheetViews>
  <sheetFormatPr defaultColWidth="9" defaultRowHeight="11.45" customHeight="1" outlineLevelRow="2" x14ac:dyDescent="0.2"/>
  <cols>
    <col min="1" max="1" width="9" style="18" customWidth="1"/>
    <col min="2" max="2" width="3.5703125" style="18" customWidth="1"/>
    <col min="3" max="3" width="44.5703125" style="18" customWidth="1"/>
    <col min="4" max="4" width="11" style="18" customWidth="1"/>
    <col min="5" max="5" width="8.28515625" style="18" customWidth="1"/>
    <col min="6" max="6" width="16.5703125" style="18" customWidth="1"/>
    <col min="7" max="7" width="15" style="18" customWidth="1"/>
    <col min="8" max="8" width="14" style="18" customWidth="1"/>
    <col min="9" max="9" width="14.140625" style="18" customWidth="1"/>
    <col min="10" max="10" width="13.42578125" style="20" bestFit="1" customWidth="1"/>
    <col min="11" max="11" width="9" style="20"/>
    <col min="12" max="12" width="13.42578125" style="20" bestFit="1" customWidth="1"/>
    <col min="13" max="16384" width="9" style="20"/>
  </cols>
  <sheetData>
    <row r="1" spans="1:10" s="18" customFormat="1" ht="9.9499999999999993" customHeight="1" collapsed="1" x14ac:dyDescent="0.2"/>
    <row r="2" spans="1:10" s="18" customFormat="1" ht="12.95" hidden="1" customHeight="1" outlineLevel="1" x14ac:dyDescent="0.2">
      <c r="A2" s="19" t="s">
        <v>130</v>
      </c>
      <c r="B2" s="19"/>
      <c r="C2" s="19" t="s">
        <v>131</v>
      </c>
    </row>
    <row r="3" spans="1:10" s="18" customFormat="1" ht="12.95" hidden="1" customHeight="1" outlineLevel="1" x14ac:dyDescent="0.2">
      <c r="C3" s="19" t="s">
        <v>132</v>
      </c>
    </row>
    <row r="4" spans="1:10" s="18" customFormat="1" ht="12.95" hidden="1" customHeight="1" outlineLevel="1" x14ac:dyDescent="0.2">
      <c r="C4" s="19" t="s">
        <v>133</v>
      </c>
    </row>
    <row r="5" spans="1:10" s="18" customFormat="1" ht="12.95" hidden="1" customHeight="1" outlineLevel="1" x14ac:dyDescent="0.2">
      <c r="C5" s="19" t="s">
        <v>134</v>
      </c>
    </row>
    <row r="6" spans="1:10" s="18" customFormat="1" ht="12.95" hidden="1" customHeight="1" outlineLevel="1" x14ac:dyDescent="0.2">
      <c r="C6" s="19" t="s">
        <v>135</v>
      </c>
    </row>
    <row r="7" spans="1:10" s="18" customFormat="1" ht="9.9499999999999993" customHeight="1" x14ac:dyDescent="0.2"/>
    <row r="8" spans="1:10" ht="12.95" customHeight="1" x14ac:dyDescent="0.2">
      <c r="A8" s="110" t="s">
        <v>136</v>
      </c>
      <c r="B8" s="110"/>
      <c r="C8" s="110"/>
      <c r="D8" s="110"/>
      <c r="E8" s="110"/>
      <c r="F8" s="111" t="s">
        <v>137</v>
      </c>
      <c r="G8" s="111" t="s">
        <v>138</v>
      </c>
      <c r="H8" s="111" t="s">
        <v>139</v>
      </c>
      <c r="I8" s="111" t="s">
        <v>140</v>
      </c>
    </row>
    <row r="9" spans="1:10" ht="12.95" customHeight="1" x14ac:dyDescent="0.2">
      <c r="A9" s="110" t="s">
        <v>141</v>
      </c>
      <c r="B9" s="110"/>
      <c r="C9" s="110"/>
      <c r="D9" s="110"/>
      <c r="E9" s="110"/>
      <c r="F9" s="112"/>
      <c r="G9" s="112"/>
      <c r="H9" s="112"/>
      <c r="I9" s="112"/>
    </row>
    <row r="10" spans="1:10" ht="26.1" customHeight="1" x14ac:dyDescent="0.2">
      <c r="A10" s="110" t="s">
        <v>142</v>
      </c>
      <c r="B10" s="110"/>
      <c r="C10" s="110"/>
      <c r="D10" s="110"/>
      <c r="E10" s="21" t="s">
        <v>143</v>
      </c>
      <c r="F10" s="113"/>
      <c r="G10" s="113"/>
      <c r="H10" s="113"/>
      <c r="I10" s="113"/>
    </row>
    <row r="11" spans="1:10" ht="11.1" customHeight="1" collapsed="1" x14ac:dyDescent="0.2">
      <c r="A11" s="109" t="s">
        <v>144</v>
      </c>
      <c r="B11" s="109"/>
      <c r="C11" s="109"/>
      <c r="D11" s="109"/>
      <c r="E11" s="109"/>
      <c r="F11" s="22">
        <v>6</v>
      </c>
      <c r="G11" s="23">
        <v>40309.949999999997</v>
      </c>
      <c r="H11" s="24">
        <v>8061.99</v>
      </c>
      <c r="I11" s="23">
        <v>48371.94</v>
      </c>
      <c r="J11" s="20" t="s">
        <v>1337</v>
      </c>
    </row>
    <row r="12" spans="1:10" s="18" customFormat="1" ht="11.1" hidden="1" customHeight="1" outlineLevel="1" x14ac:dyDescent="0.2">
      <c r="A12" s="107" t="s">
        <v>145</v>
      </c>
      <c r="B12" s="107"/>
      <c r="C12" s="107"/>
      <c r="D12" s="107"/>
      <c r="E12" s="107"/>
      <c r="F12" s="25">
        <v>6</v>
      </c>
      <c r="G12" s="26">
        <v>40309.949999999997</v>
      </c>
      <c r="H12" s="27">
        <v>8061.99</v>
      </c>
      <c r="I12" s="26">
        <v>48371.94</v>
      </c>
    </row>
    <row r="13" spans="1:10" s="18" customFormat="1" ht="11.1" hidden="1" customHeight="1" outlineLevel="2" x14ac:dyDescent="0.2">
      <c r="A13" s="108" t="s">
        <v>146</v>
      </c>
      <c r="B13" s="108"/>
      <c r="C13" s="108"/>
      <c r="D13" s="108"/>
      <c r="E13" s="28" t="s">
        <v>147</v>
      </c>
      <c r="F13" s="29">
        <v>2</v>
      </c>
      <c r="G13" s="30">
        <v>1316.15</v>
      </c>
      <c r="H13" s="31">
        <v>263.23</v>
      </c>
      <c r="I13" s="30">
        <v>1579.38</v>
      </c>
    </row>
    <row r="14" spans="1:10" s="18" customFormat="1" ht="11.1" hidden="1" customHeight="1" outlineLevel="2" x14ac:dyDescent="0.2">
      <c r="A14" s="108" t="s">
        <v>148</v>
      </c>
      <c r="B14" s="108"/>
      <c r="C14" s="108"/>
      <c r="D14" s="108"/>
      <c r="E14" s="28" t="s">
        <v>147</v>
      </c>
      <c r="F14" s="29">
        <v>2</v>
      </c>
      <c r="G14" s="30">
        <v>31795.200000000001</v>
      </c>
      <c r="H14" s="32">
        <v>6359.04</v>
      </c>
      <c r="I14" s="30">
        <v>38154.239999999998</v>
      </c>
    </row>
    <row r="15" spans="1:10" s="18" customFormat="1" ht="11.1" hidden="1" customHeight="1" outlineLevel="2" x14ac:dyDescent="0.2">
      <c r="A15" s="108" t="s">
        <v>149</v>
      </c>
      <c r="B15" s="108"/>
      <c r="C15" s="108"/>
      <c r="D15" s="108"/>
      <c r="E15" s="28" t="s">
        <v>147</v>
      </c>
      <c r="F15" s="29">
        <v>2</v>
      </c>
      <c r="G15" s="30">
        <v>7198.6</v>
      </c>
      <c r="H15" s="32">
        <v>1439.72</v>
      </c>
      <c r="I15" s="30">
        <v>8638.32</v>
      </c>
    </row>
    <row r="16" spans="1:10" ht="11.1" customHeight="1" collapsed="1" x14ac:dyDescent="0.2">
      <c r="A16" s="109" t="s">
        <v>150</v>
      </c>
      <c r="B16" s="109"/>
      <c r="C16" s="109"/>
      <c r="D16" s="109"/>
      <c r="E16" s="109"/>
      <c r="F16" s="22">
        <v>20</v>
      </c>
      <c r="G16" s="23">
        <v>39622.54</v>
      </c>
      <c r="H16" s="33">
        <v>7924.5</v>
      </c>
      <c r="I16" s="23">
        <v>47547.040000000001</v>
      </c>
      <c r="J16" s="20" t="s">
        <v>1337</v>
      </c>
    </row>
    <row r="17" spans="1:10" s="18" customFormat="1" ht="11.1" hidden="1" customHeight="1" outlineLevel="1" x14ac:dyDescent="0.2">
      <c r="A17" s="107" t="s">
        <v>151</v>
      </c>
      <c r="B17" s="107"/>
      <c r="C17" s="107"/>
      <c r="D17" s="107"/>
      <c r="E17" s="107"/>
      <c r="F17" s="25">
        <v>4</v>
      </c>
      <c r="G17" s="26">
        <v>16368.77</v>
      </c>
      <c r="H17" s="27">
        <v>3273.75</v>
      </c>
      <c r="I17" s="26">
        <v>19642.52</v>
      </c>
    </row>
    <row r="18" spans="1:10" s="18" customFormat="1" ht="11.1" hidden="1" customHeight="1" outlineLevel="2" collapsed="1" x14ac:dyDescent="0.2">
      <c r="A18" s="108" t="s">
        <v>152</v>
      </c>
      <c r="B18" s="108"/>
      <c r="C18" s="108"/>
      <c r="D18" s="108"/>
      <c r="E18" s="28" t="s">
        <v>147</v>
      </c>
      <c r="F18" s="29">
        <v>4</v>
      </c>
      <c r="G18" s="30">
        <v>16368.77</v>
      </c>
      <c r="H18" s="32">
        <v>3273.75</v>
      </c>
      <c r="I18" s="30">
        <v>19642.52</v>
      </c>
    </row>
    <row r="19" spans="1:10" s="18" customFormat="1" ht="11.1" hidden="1" customHeight="1" outlineLevel="1" collapsed="1" x14ac:dyDescent="0.2">
      <c r="A19" s="107" t="s">
        <v>153</v>
      </c>
      <c r="B19" s="107"/>
      <c r="C19" s="107"/>
      <c r="D19" s="107"/>
      <c r="E19" s="107"/>
      <c r="F19" s="25">
        <v>4</v>
      </c>
      <c r="G19" s="26">
        <v>16368.77</v>
      </c>
      <c r="H19" s="27">
        <v>3273.75</v>
      </c>
      <c r="I19" s="26">
        <v>19642.52</v>
      </c>
    </row>
    <row r="20" spans="1:10" s="18" customFormat="1" ht="11.1" hidden="1" customHeight="1" outlineLevel="2" collapsed="1" x14ac:dyDescent="0.2">
      <c r="A20" s="108" t="s">
        <v>152</v>
      </c>
      <c r="B20" s="108"/>
      <c r="C20" s="108"/>
      <c r="D20" s="108"/>
      <c r="E20" s="28" t="s">
        <v>147</v>
      </c>
      <c r="F20" s="29">
        <v>4</v>
      </c>
      <c r="G20" s="30">
        <v>16368.77</v>
      </c>
      <c r="H20" s="32">
        <v>3273.75</v>
      </c>
      <c r="I20" s="30">
        <v>19642.52</v>
      </c>
    </row>
    <row r="21" spans="1:10" s="18" customFormat="1" ht="11.1" hidden="1" customHeight="1" outlineLevel="1" x14ac:dyDescent="0.2">
      <c r="A21" s="107" t="s">
        <v>154</v>
      </c>
      <c r="B21" s="107"/>
      <c r="C21" s="107"/>
      <c r="D21" s="107"/>
      <c r="E21" s="107"/>
      <c r="F21" s="25">
        <v>12</v>
      </c>
      <c r="G21" s="34">
        <v>6885</v>
      </c>
      <c r="H21" s="35">
        <v>1377</v>
      </c>
      <c r="I21" s="34">
        <v>8262</v>
      </c>
    </row>
    <row r="22" spans="1:10" s="18" customFormat="1" ht="11.1" hidden="1" customHeight="1" outlineLevel="2" x14ac:dyDescent="0.2">
      <c r="A22" s="108" t="s">
        <v>155</v>
      </c>
      <c r="B22" s="108"/>
      <c r="C22" s="108"/>
      <c r="D22" s="108"/>
      <c r="E22" s="28" t="s">
        <v>147</v>
      </c>
      <c r="F22" s="29">
        <v>12</v>
      </c>
      <c r="G22" s="30">
        <v>6885</v>
      </c>
      <c r="H22" s="32">
        <v>1377</v>
      </c>
      <c r="I22" s="30">
        <v>8262</v>
      </c>
    </row>
    <row r="23" spans="1:10" ht="11.1" customHeight="1" collapsed="1" x14ac:dyDescent="0.2">
      <c r="A23" s="109" t="s">
        <v>156</v>
      </c>
      <c r="B23" s="109"/>
      <c r="C23" s="109"/>
      <c r="D23" s="109"/>
      <c r="E23" s="109"/>
      <c r="F23" s="22">
        <v>4</v>
      </c>
      <c r="G23" s="36">
        <v>24750</v>
      </c>
      <c r="H23" s="37">
        <v>4950</v>
      </c>
      <c r="I23" s="36">
        <v>29700</v>
      </c>
      <c r="J23" s="20" t="s">
        <v>1335</v>
      </c>
    </row>
    <row r="24" spans="1:10" s="18" customFormat="1" ht="11.1" hidden="1" customHeight="1" outlineLevel="1" x14ac:dyDescent="0.2">
      <c r="A24" s="107" t="s">
        <v>157</v>
      </c>
      <c r="B24" s="107"/>
      <c r="C24" s="107"/>
      <c r="D24" s="107"/>
      <c r="E24" s="107"/>
      <c r="F24" s="25">
        <v>2</v>
      </c>
      <c r="G24" s="26">
        <v>13416.67</v>
      </c>
      <c r="H24" s="27">
        <v>2683.33</v>
      </c>
      <c r="I24" s="34">
        <v>16100</v>
      </c>
    </row>
    <row r="25" spans="1:10" s="18" customFormat="1" ht="11.1" hidden="1" customHeight="1" outlineLevel="2" collapsed="1" x14ac:dyDescent="0.2">
      <c r="A25" s="108" t="s">
        <v>158</v>
      </c>
      <c r="B25" s="108"/>
      <c r="C25" s="108"/>
      <c r="D25" s="108"/>
      <c r="E25" s="28" t="s">
        <v>147</v>
      </c>
      <c r="F25" s="29">
        <v>2</v>
      </c>
      <c r="G25" s="30">
        <v>13416.67</v>
      </c>
      <c r="H25" s="32">
        <v>2683.33</v>
      </c>
      <c r="I25" s="30">
        <v>16100</v>
      </c>
    </row>
    <row r="26" spans="1:10" s="18" customFormat="1" ht="11.1" hidden="1" customHeight="1" outlineLevel="1" x14ac:dyDescent="0.2">
      <c r="A26" s="107" t="s">
        <v>159</v>
      </c>
      <c r="B26" s="107"/>
      <c r="C26" s="107"/>
      <c r="D26" s="107"/>
      <c r="E26" s="107"/>
      <c r="F26" s="25">
        <v>2</v>
      </c>
      <c r="G26" s="26">
        <v>11333.33</v>
      </c>
      <c r="H26" s="27">
        <v>2266.67</v>
      </c>
      <c r="I26" s="34">
        <v>13600</v>
      </c>
    </row>
    <row r="27" spans="1:10" s="18" customFormat="1" ht="11.1" hidden="1" customHeight="1" outlineLevel="2" x14ac:dyDescent="0.2">
      <c r="A27" s="108" t="s">
        <v>158</v>
      </c>
      <c r="B27" s="108"/>
      <c r="C27" s="108"/>
      <c r="D27" s="108"/>
      <c r="E27" s="28" t="s">
        <v>147</v>
      </c>
      <c r="F27" s="29">
        <v>2</v>
      </c>
      <c r="G27" s="30">
        <v>11333.33</v>
      </c>
      <c r="H27" s="32">
        <v>2266.67</v>
      </c>
      <c r="I27" s="30">
        <v>13600</v>
      </c>
    </row>
    <row r="28" spans="1:10" ht="11.1" customHeight="1" collapsed="1" x14ac:dyDescent="0.2">
      <c r="A28" s="109" t="s">
        <v>160</v>
      </c>
      <c r="B28" s="109"/>
      <c r="C28" s="109"/>
      <c r="D28" s="109"/>
      <c r="E28" s="109"/>
      <c r="F28" s="22">
        <v>10</v>
      </c>
      <c r="G28" s="38">
        <v>50207.5</v>
      </c>
      <c r="H28" s="33">
        <v>10041.5</v>
      </c>
      <c r="I28" s="36">
        <v>60249</v>
      </c>
      <c r="J28" s="20" t="s">
        <v>1337</v>
      </c>
    </row>
    <row r="29" spans="1:10" s="18" customFormat="1" ht="11.1" hidden="1" customHeight="1" outlineLevel="1" x14ac:dyDescent="0.2">
      <c r="A29" s="107" t="s">
        <v>161</v>
      </c>
      <c r="B29" s="107"/>
      <c r="C29" s="107"/>
      <c r="D29" s="107"/>
      <c r="E29" s="107"/>
      <c r="F29" s="25">
        <v>10</v>
      </c>
      <c r="G29" s="39">
        <v>50207.5</v>
      </c>
      <c r="H29" s="40">
        <v>10041.5</v>
      </c>
      <c r="I29" s="34">
        <v>60249</v>
      </c>
    </row>
    <row r="30" spans="1:10" s="18" customFormat="1" ht="11.1" hidden="1" customHeight="1" outlineLevel="2" x14ac:dyDescent="0.2">
      <c r="A30" s="108" t="s">
        <v>162</v>
      </c>
      <c r="B30" s="108"/>
      <c r="C30" s="108"/>
      <c r="D30" s="108"/>
      <c r="E30" s="28" t="s">
        <v>147</v>
      </c>
      <c r="F30" s="29">
        <v>10</v>
      </c>
      <c r="G30" s="30">
        <v>50207.5</v>
      </c>
      <c r="H30" s="32">
        <v>10041.5</v>
      </c>
      <c r="I30" s="30">
        <v>60249</v>
      </c>
    </row>
    <row r="31" spans="1:10" ht="11.1" customHeight="1" collapsed="1" x14ac:dyDescent="0.2">
      <c r="A31" s="109" t="s">
        <v>163</v>
      </c>
      <c r="B31" s="109"/>
      <c r="C31" s="109"/>
      <c r="D31" s="109"/>
      <c r="E31" s="109"/>
      <c r="F31" s="22">
        <v>30</v>
      </c>
      <c r="G31" s="23">
        <v>14093.75</v>
      </c>
      <c r="H31" s="24">
        <v>2818.75</v>
      </c>
      <c r="I31" s="38">
        <v>16912.5</v>
      </c>
      <c r="J31" s="20" t="s">
        <v>1336</v>
      </c>
    </row>
    <row r="32" spans="1:10" s="18" customFormat="1" ht="11.1" hidden="1" customHeight="1" outlineLevel="1" x14ac:dyDescent="0.2">
      <c r="A32" s="107" t="s">
        <v>164</v>
      </c>
      <c r="B32" s="107"/>
      <c r="C32" s="107"/>
      <c r="D32" s="107"/>
      <c r="E32" s="107"/>
      <c r="F32" s="25">
        <v>30</v>
      </c>
      <c r="G32" s="26">
        <v>14093.75</v>
      </c>
      <c r="H32" s="27">
        <v>2818.75</v>
      </c>
      <c r="I32" s="39">
        <v>16912.5</v>
      </c>
    </row>
    <row r="33" spans="1:10" s="18" customFormat="1" ht="11.1" hidden="1" customHeight="1" outlineLevel="2" x14ac:dyDescent="0.2">
      <c r="A33" s="108" t="s">
        <v>165</v>
      </c>
      <c r="B33" s="108"/>
      <c r="C33" s="108"/>
      <c r="D33" s="108"/>
      <c r="E33" s="28" t="s">
        <v>147</v>
      </c>
      <c r="F33" s="29">
        <v>30</v>
      </c>
      <c r="G33" s="30">
        <v>14093.75</v>
      </c>
      <c r="H33" s="32">
        <v>2818.75</v>
      </c>
      <c r="I33" s="30">
        <v>16912.5</v>
      </c>
    </row>
    <row r="34" spans="1:10" ht="11.1" customHeight="1" collapsed="1" x14ac:dyDescent="0.2">
      <c r="A34" s="109" t="s">
        <v>166</v>
      </c>
      <c r="B34" s="109"/>
      <c r="C34" s="109"/>
      <c r="D34" s="109"/>
      <c r="E34" s="109"/>
      <c r="F34" s="22">
        <v>20</v>
      </c>
      <c r="G34" s="23">
        <v>54166.67</v>
      </c>
      <c r="H34" s="24">
        <v>10833.33</v>
      </c>
      <c r="I34" s="36">
        <v>65000</v>
      </c>
      <c r="J34" s="20" t="s">
        <v>1336</v>
      </c>
    </row>
    <row r="35" spans="1:10" s="18" customFormat="1" ht="11.1" hidden="1" customHeight="1" outlineLevel="1" x14ac:dyDescent="0.2">
      <c r="A35" s="107" t="s">
        <v>167</v>
      </c>
      <c r="B35" s="107"/>
      <c r="C35" s="107"/>
      <c r="D35" s="107"/>
      <c r="E35" s="107"/>
      <c r="F35" s="25">
        <v>20</v>
      </c>
      <c r="G35" s="26">
        <v>54166.67</v>
      </c>
      <c r="H35" s="27">
        <v>10833.33</v>
      </c>
      <c r="I35" s="34">
        <v>65000</v>
      </c>
    </row>
    <row r="36" spans="1:10" s="18" customFormat="1" ht="11.1" hidden="1" customHeight="1" outlineLevel="2" x14ac:dyDescent="0.2">
      <c r="A36" s="108" t="s">
        <v>168</v>
      </c>
      <c r="B36" s="108"/>
      <c r="C36" s="108"/>
      <c r="D36" s="108"/>
      <c r="E36" s="28" t="s">
        <v>147</v>
      </c>
      <c r="F36" s="29">
        <v>20</v>
      </c>
      <c r="G36" s="30">
        <v>54166.67</v>
      </c>
      <c r="H36" s="32">
        <v>10833.33</v>
      </c>
      <c r="I36" s="30">
        <v>65000</v>
      </c>
    </row>
    <row r="37" spans="1:10" ht="11.1" customHeight="1" collapsed="1" x14ac:dyDescent="0.2">
      <c r="A37" s="109" t="s">
        <v>169</v>
      </c>
      <c r="B37" s="109"/>
      <c r="C37" s="109"/>
      <c r="D37" s="109"/>
      <c r="E37" s="109"/>
      <c r="F37" s="22">
        <v>49</v>
      </c>
      <c r="G37" s="23">
        <v>341407.69</v>
      </c>
      <c r="H37" s="24">
        <v>68281.53</v>
      </c>
      <c r="I37" s="23">
        <v>409689.22</v>
      </c>
      <c r="J37" s="20" t="s">
        <v>1335</v>
      </c>
    </row>
    <row r="38" spans="1:10" s="18" customFormat="1" ht="11.1" hidden="1" customHeight="1" outlineLevel="1" collapsed="1" x14ac:dyDescent="0.2">
      <c r="A38" s="107" t="s">
        <v>170</v>
      </c>
      <c r="B38" s="107"/>
      <c r="C38" s="107"/>
      <c r="D38" s="107"/>
      <c r="E38" s="107"/>
      <c r="F38" s="25">
        <v>2</v>
      </c>
      <c r="G38" s="26">
        <v>31485.27</v>
      </c>
      <c r="H38" s="27">
        <v>6297.05</v>
      </c>
      <c r="I38" s="26">
        <v>37782.32</v>
      </c>
    </row>
    <row r="39" spans="1:10" s="18" customFormat="1" ht="11.1" hidden="1" customHeight="1" outlineLevel="2" collapsed="1" x14ac:dyDescent="0.2">
      <c r="A39" s="108" t="s">
        <v>171</v>
      </c>
      <c r="B39" s="108"/>
      <c r="C39" s="108"/>
      <c r="D39" s="108"/>
      <c r="E39" s="28" t="s">
        <v>147</v>
      </c>
      <c r="F39" s="29">
        <v>2</v>
      </c>
      <c r="G39" s="30">
        <v>31485.27</v>
      </c>
      <c r="H39" s="32">
        <v>6297.05</v>
      </c>
      <c r="I39" s="30">
        <v>37782.32</v>
      </c>
    </row>
    <row r="40" spans="1:10" s="18" customFormat="1" ht="11.1" hidden="1" customHeight="1" outlineLevel="1" collapsed="1" x14ac:dyDescent="0.2">
      <c r="A40" s="107" t="s">
        <v>172</v>
      </c>
      <c r="B40" s="107"/>
      <c r="C40" s="107"/>
      <c r="D40" s="107"/>
      <c r="E40" s="107"/>
      <c r="F40" s="25">
        <v>3</v>
      </c>
      <c r="G40" s="39">
        <v>42414.5</v>
      </c>
      <c r="H40" s="40">
        <v>8482.9</v>
      </c>
      <c r="I40" s="39">
        <v>50897.4</v>
      </c>
    </row>
    <row r="41" spans="1:10" s="18" customFormat="1" ht="11.1" hidden="1" customHeight="1" outlineLevel="2" collapsed="1" x14ac:dyDescent="0.2">
      <c r="A41" s="108" t="s">
        <v>173</v>
      </c>
      <c r="B41" s="108"/>
      <c r="C41" s="108"/>
      <c r="D41" s="108"/>
      <c r="E41" s="28" t="s">
        <v>147</v>
      </c>
      <c r="F41" s="29">
        <v>3</v>
      </c>
      <c r="G41" s="30">
        <v>42414.5</v>
      </c>
      <c r="H41" s="32">
        <v>8482.9</v>
      </c>
      <c r="I41" s="30">
        <v>50897.4</v>
      </c>
    </row>
    <row r="42" spans="1:10" s="18" customFormat="1" ht="11.1" hidden="1" customHeight="1" outlineLevel="1" collapsed="1" x14ac:dyDescent="0.2">
      <c r="A42" s="107" t="s">
        <v>174</v>
      </c>
      <c r="B42" s="107"/>
      <c r="C42" s="107"/>
      <c r="D42" s="107"/>
      <c r="E42" s="107"/>
      <c r="F42" s="25">
        <v>11</v>
      </c>
      <c r="G42" s="26">
        <v>185413.62</v>
      </c>
      <c r="H42" s="27">
        <v>37082.720000000001</v>
      </c>
      <c r="I42" s="26">
        <v>222496.34</v>
      </c>
    </row>
    <row r="43" spans="1:10" s="18" customFormat="1" ht="11.1" hidden="1" customHeight="1" outlineLevel="2" collapsed="1" x14ac:dyDescent="0.2">
      <c r="A43" s="108" t="s">
        <v>175</v>
      </c>
      <c r="B43" s="108"/>
      <c r="C43" s="108"/>
      <c r="D43" s="108"/>
      <c r="E43" s="28" t="s">
        <v>147</v>
      </c>
      <c r="F43" s="29">
        <v>11</v>
      </c>
      <c r="G43" s="30">
        <v>185413.62</v>
      </c>
      <c r="H43" s="32">
        <v>37082.720000000001</v>
      </c>
      <c r="I43" s="30">
        <v>222496.34</v>
      </c>
    </row>
    <row r="44" spans="1:10" s="18" customFormat="1" ht="11.1" hidden="1" customHeight="1" outlineLevel="1" collapsed="1" x14ac:dyDescent="0.2">
      <c r="A44" s="107" t="s">
        <v>176</v>
      </c>
      <c r="B44" s="107"/>
      <c r="C44" s="107"/>
      <c r="D44" s="107"/>
      <c r="E44" s="107"/>
      <c r="F44" s="25">
        <v>3</v>
      </c>
      <c r="G44" s="26">
        <v>50567.35</v>
      </c>
      <c r="H44" s="27">
        <v>10113.469999999999</v>
      </c>
      <c r="I44" s="26">
        <v>60680.82</v>
      </c>
    </row>
    <row r="45" spans="1:10" s="18" customFormat="1" ht="11.1" hidden="1" customHeight="1" outlineLevel="2" collapsed="1" x14ac:dyDescent="0.2">
      <c r="A45" s="108" t="s">
        <v>177</v>
      </c>
      <c r="B45" s="108"/>
      <c r="C45" s="108"/>
      <c r="D45" s="108"/>
      <c r="E45" s="28" t="s">
        <v>147</v>
      </c>
      <c r="F45" s="29">
        <v>3</v>
      </c>
      <c r="G45" s="30">
        <v>50567.35</v>
      </c>
      <c r="H45" s="32">
        <v>10113.469999999999</v>
      </c>
      <c r="I45" s="30">
        <v>60680.82</v>
      </c>
    </row>
    <row r="46" spans="1:10" s="18" customFormat="1" ht="11.1" hidden="1" customHeight="1" outlineLevel="1" collapsed="1" x14ac:dyDescent="0.2">
      <c r="A46" s="107" t="s">
        <v>178</v>
      </c>
      <c r="B46" s="107"/>
      <c r="C46" s="107"/>
      <c r="D46" s="107"/>
      <c r="E46" s="107"/>
      <c r="F46" s="25">
        <v>30</v>
      </c>
      <c r="G46" s="26">
        <v>31526.95</v>
      </c>
      <c r="H46" s="27">
        <v>6305.39</v>
      </c>
      <c r="I46" s="26">
        <v>37832.339999999997</v>
      </c>
    </row>
    <row r="47" spans="1:10" s="18" customFormat="1" ht="11.1" hidden="1" customHeight="1" outlineLevel="2" x14ac:dyDescent="0.2">
      <c r="A47" s="108" t="s">
        <v>179</v>
      </c>
      <c r="B47" s="108"/>
      <c r="C47" s="108"/>
      <c r="D47" s="108"/>
      <c r="E47" s="28" t="s">
        <v>147</v>
      </c>
      <c r="F47" s="29">
        <v>29</v>
      </c>
      <c r="G47" s="30">
        <v>14129.28</v>
      </c>
      <c r="H47" s="32">
        <v>2825.86</v>
      </c>
      <c r="I47" s="30">
        <v>16955.14</v>
      </c>
    </row>
    <row r="48" spans="1:10" s="18" customFormat="1" ht="11.1" hidden="1" customHeight="1" outlineLevel="2" x14ac:dyDescent="0.2">
      <c r="A48" s="108" t="s">
        <v>180</v>
      </c>
      <c r="B48" s="108"/>
      <c r="C48" s="108"/>
      <c r="D48" s="108"/>
      <c r="E48" s="28" t="s">
        <v>147</v>
      </c>
      <c r="F48" s="29">
        <v>1</v>
      </c>
      <c r="G48" s="30">
        <v>17397.669999999998</v>
      </c>
      <c r="H48" s="32">
        <v>3479.53</v>
      </c>
      <c r="I48" s="30">
        <v>20877.2</v>
      </c>
    </row>
    <row r="49" spans="1:12" ht="11.1" customHeight="1" collapsed="1" x14ac:dyDescent="0.2">
      <c r="A49" s="109" t="s">
        <v>181</v>
      </c>
      <c r="B49" s="109"/>
      <c r="C49" s="109"/>
      <c r="D49" s="109"/>
      <c r="E49" s="109"/>
      <c r="F49" s="22">
        <v>40</v>
      </c>
      <c r="G49" s="36">
        <v>93000</v>
      </c>
      <c r="H49" s="37">
        <v>18600</v>
      </c>
      <c r="I49" s="36">
        <v>111600</v>
      </c>
      <c r="J49" s="20" t="s">
        <v>1336</v>
      </c>
      <c r="L49" s="20" t="s">
        <v>1336</v>
      </c>
    </row>
    <row r="50" spans="1:12" s="18" customFormat="1" ht="11.1" hidden="1" customHeight="1" outlineLevel="1" x14ac:dyDescent="0.2">
      <c r="A50" s="107" t="s">
        <v>182</v>
      </c>
      <c r="B50" s="107"/>
      <c r="C50" s="107"/>
      <c r="D50" s="107"/>
      <c r="E50" s="107"/>
      <c r="F50" s="25">
        <v>40</v>
      </c>
      <c r="G50" s="34">
        <v>93000</v>
      </c>
      <c r="H50" s="35">
        <v>18600</v>
      </c>
      <c r="I50" s="34">
        <v>111600</v>
      </c>
    </row>
    <row r="51" spans="1:12" s="18" customFormat="1" ht="11.1" hidden="1" customHeight="1" outlineLevel="2" x14ac:dyDescent="0.2">
      <c r="A51" s="108" t="s">
        <v>183</v>
      </c>
      <c r="B51" s="108"/>
      <c r="C51" s="108"/>
      <c r="D51" s="108"/>
      <c r="E51" s="28" t="s">
        <v>147</v>
      </c>
      <c r="F51" s="29">
        <v>40</v>
      </c>
      <c r="G51" s="30">
        <v>93000</v>
      </c>
      <c r="H51" s="32">
        <v>18600</v>
      </c>
      <c r="I51" s="30">
        <v>111600</v>
      </c>
    </row>
    <row r="52" spans="1:12" ht="11.1" customHeight="1" collapsed="1" x14ac:dyDescent="0.2">
      <c r="A52" s="109" t="s">
        <v>184</v>
      </c>
      <c r="B52" s="109"/>
      <c r="C52" s="109"/>
      <c r="D52" s="109"/>
      <c r="E52" s="109"/>
      <c r="F52" s="22">
        <v>26</v>
      </c>
      <c r="G52" s="23">
        <v>5861.67</v>
      </c>
      <c r="H52" s="24">
        <v>1172.33</v>
      </c>
      <c r="I52" s="36">
        <v>7034</v>
      </c>
      <c r="J52" s="20" t="s">
        <v>1337</v>
      </c>
      <c r="L52" s="20" t="s">
        <v>1337</v>
      </c>
    </row>
    <row r="53" spans="1:12" s="18" customFormat="1" ht="11.1" hidden="1" customHeight="1" outlineLevel="1" x14ac:dyDescent="0.2">
      <c r="A53" s="107" t="s">
        <v>185</v>
      </c>
      <c r="B53" s="107"/>
      <c r="C53" s="107"/>
      <c r="D53" s="107"/>
      <c r="E53" s="107"/>
      <c r="F53" s="25">
        <v>26</v>
      </c>
      <c r="G53" s="26">
        <v>5861.67</v>
      </c>
      <c r="H53" s="27">
        <v>1172.33</v>
      </c>
      <c r="I53" s="34">
        <v>7034</v>
      </c>
    </row>
    <row r="54" spans="1:12" s="18" customFormat="1" ht="11.1" hidden="1" customHeight="1" outlineLevel="2" x14ac:dyDescent="0.2">
      <c r="A54" s="108" t="s">
        <v>186</v>
      </c>
      <c r="B54" s="108"/>
      <c r="C54" s="108"/>
      <c r="D54" s="108"/>
      <c r="E54" s="28" t="s">
        <v>147</v>
      </c>
      <c r="F54" s="29">
        <v>6</v>
      </c>
      <c r="G54" s="30">
        <v>2145</v>
      </c>
      <c r="H54" s="31">
        <v>429</v>
      </c>
      <c r="I54" s="30">
        <v>2574</v>
      </c>
    </row>
    <row r="55" spans="1:12" s="18" customFormat="1" ht="21.95" hidden="1" customHeight="1" outlineLevel="2" x14ac:dyDescent="0.2">
      <c r="A55" s="108" t="s">
        <v>187</v>
      </c>
      <c r="B55" s="108"/>
      <c r="C55" s="108"/>
      <c r="D55" s="108"/>
      <c r="E55" s="28" t="s">
        <v>147</v>
      </c>
      <c r="F55" s="29">
        <v>20</v>
      </c>
      <c r="G55" s="30">
        <v>3716.67</v>
      </c>
      <c r="H55" s="31">
        <v>743.33</v>
      </c>
      <c r="I55" s="30">
        <v>4460</v>
      </c>
    </row>
    <row r="56" spans="1:12" ht="11.1" customHeight="1" collapsed="1" x14ac:dyDescent="0.2">
      <c r="A56" s="109" t="s">
        <v>188</v>
      </c>
      <c r="B56" s="109"/>
      <c r="C56" s="109"/>
      <c r="D56" s="109"/>
      <c r="E56" s="109"/>
      <c r="F56" s="22">
        <v>13</v>
      </c>
      <c r="G56" s="23">
        <v>511458.34</v>
      </c>
      <c r="H56" s="24">
        <v>102291.66</v>
      </c>
      <c r="I56" s="36">
        <v>613750</v>
      </c>
      <c r="J56" s="20" t="s">
        <v>1335</v>
      </c>
    </row>
    <row r="57" spans="1:12" s="18" customFormat="1" ht="11.1" hidden="1" customHeight="1" outlineLevel="1" collapsed="1" x14ac:dyDescent="0.2">
      <c r="A57" s="107" t="s">
        <v>189</v>
      </c>
      <c r="B57" s="107"/>
      <c r="C57" s="107"/>
      <c r="D57" s="107"/>
      <c r="E57" s="107"/>
      <c r="F57" s="25">
        <v>2</v>
      </c>
      <c r="G57" s="26">
        <v>60416.67</v>
      </c>
      <c r="H57" s="27">
        <v>12083.33</v>
      </c>
      <c r="I57" s="34">
        <v>72500</v>
      </c>
    </row>
    <row r="58" spans="1:12" s="18" customFormat="1" ht="11.1" hidden="1" customHeight="1" outlineLevel="2" collapsed="1" x14ac:dyDescent="0.2">
      <c r="A58" s="108" t="s">
        <v>190</v>
      </c>
      <c r="B58" s="108"/>
      <c r="C58" s="108"/>
      <c r="D58" s="108"/>
      <c r="E58" s="28" t="s">
        <v>147</v>
      </c>
      <c r="F58" s="29">
        <v>2</v>
      </c>
      <c r="G58" s="30">
        <v>60416.67</v>
      </c>
      <c r="H58" s="32">
        <v>12083.33</v>
      </c>
      <c r="I58" s="30">
        <v>72500</v>
      </c>
    </row>
    <row r="59" spans="1:12" s="18" customFormat="1" ht="11.1" hidden="1" customHeight="1" outlineLevel="1" collapsed="1" x14ac:dyDescent="0.2">
      <c r="A59" s="107" t="s">
        <v>191</v>
      </c>
      <c r="B59" s="107"/>
      <c r="C59" s="107"/>
      <c r="D59" s="107"/>
      <c r="E59" s="107"/>
      <c r="F59" s="25">
        <v>1</v>
      </c>
      <c r="G59" s="26">
        <v>41058.33</v>
      </c>
      <c r="H59" s="27">
        <v>8211.67</v>
      </c>
      <c r="I59" s="34">
        <v>49270</v>
      </c>
    </row>
    <row r="60" spans="1:12" s="18" customFormat="1" ht="21.95" hidden="1" customHeight="1" outlineLevel="2" collapsed="1" x14ac:dyDescent="0.2">
      <c r="A60" s="108" t="s">
        <v>192</v>
      </c>
      <c r="B60" s="108"/>
      <c r="C60" s="108"/>
      <c r="D60" s="108"/>
      <c r="E60" s="28" t="s">
        <v>147</v>
      </c>
      <c r="F60" s="29">
        <v>1</v>
      </c>
      <c r="G60" s="30">
        <v>41058.33</v>
      </c>
      <c r="H60" s="32">
        <v>8211.67</v>
      </c>
      <c r="I60" s="30">
        <v>49270</v>
      </c>
    </row>
    <row r="61" spans="1:12" s="18" customFormat="1" ht="11.1" hidden="1" customHeight="1" outlineLevel="1" collapsed="1" x14ac:dyDescent="0.2">
      <c r="A61" s="107" t="s">
        <v>193</v>
      </c>
      <c r="B61" s="107"/>
      <c r="C61" s="107"/>
      <c r="D61" s="107"/>
      <c r="E61" s="107"/>
      <c r="F61" s="25">
        <v>1</v>
      </c>
      <c r="G61" s="34">
        <v>93875</v>
      </c>
      <c r="H61" s="35">
        <v>18775</v>
      </c>
      <c r="I61" s="34">
        <v>112650</v>
      </c>
    </row>
    <row r="62" spans="1:12" s="18" customFormat="1" ht="11.1" hidden="1" customHeight="1" outlineLevel="2" collapsed="1" x14ac:dyDescent="0.2">
      <c r="A62" s="108" t="s">
        <v>194</v>
      </c>
      <c r="B62" s="108"/>
      <c r="C62" s="108"/>
      <c r="D62" s="108"/>
      <c r="E62" s="28" t="s">
        <v>147</v>
      </c>
      <c r="F62" s="29">
        <v>1</v>
      </c>
      <c r="G62" s="30">
        <v>93875</v>
      </c>
      <c r="H62" s="32">
        <v>18775</v>
      </c>
      <c r="I62" s="30">
        <v>112650</v>
      </c>
    </row>
    <row r="63" spans="1:12" s="18" customFormat="1" ht="11.1" hidden="1" customHeight="1" outlineLevel="1" collapsed="1" x14ac:dyDescent="0.2">
      <c r="A63" s="107" t="s">
        <v>195</v>
      </c>
      <c r="B63" s="107"/>
      <c r="C63" s="107"/>
      <c r="D63" s="107"/>
      <c r="E63" s="107"/>
      <c r="F63" s="25">
        <v>4</v>
      </c>
      <c r="G63" s="26">
        <v>165066.67000000001</v>
      </c>
      <c r="H63" s="27">
        <v>33013.33</v>
      </c>
      <c r="I63" s="34">
        <v>198080</v>
      </c>
    </row>
    <row r="64" spans="1:12" s="18" customFormat="1" ht="21.95" hidden="1" customHeight="1" outlineLevel="2" collapsed="1" x14ac:dyDescent="0.2">
      <c r="A64" s="108" t="s">
        <v>192</v>
      </c>
      <c r="B64" s="108"/>
      <c r="C64" s="108"/>
      <c r="D64" s="108"/>
      <c r="E64" s="28" t="s">
        <v>147</v>
      </c>
      <c r="F64" s="29">
        <v>4</v>
      </c>
      <c r="G64" s="30">
        <v>165066.67000000001</v>
      </c>
      <c r="H64" s="32">
        <v>33013.33</v>
      </c>
      <c r="I64" s="30">
        <v>198080</v>
      </c>
    </row>
    <row r="65" spans="1:10" s="18" customFormat="1" ht="11.1" hidden="1" customHeight="1" outlineLevel="1" collapsed="1" x14ac:dyDescent="0.2">
      <c r="A65" s="107" t="s">
        <v>196</v>
      </c>
      <c r="B65" s="107"/>
      <c r="C65" s="107"/>
      <c r="D65" s="107"/>
      <c r="E65" s="107"/>
      <c r="F65" s="25">
        <v>5</v>
      </c>
      <c r="G65" s="26">
        <v>151041.67000000001</v>
      </c>
      <c r="H65" s="27">
        <v>30208.33</v>
      </c>
      <c r="I65" s="34">
        <v>181250</v>
      </c>
    </row>
    <row r="66" spans="1:10" s="18" customFormat="1" ht="11.1" hidden="1" customHeight="1" outlineLevel="2" x14ac:dyDescent="0.2">
      <c r="A66" s="108" t="s">
        <v>190</v>
      </c>
      <c r="B66" s="108"/>
      <c r="C66" s="108"/>
      <c r="D66" s="108"/>
      <c r="E66" s="28" t="s">
        <v>147</v>
      </c>
      <c r="F66" s="29">
        <v>5</v>
      </c>
      <c r="G66" s="30">
        <v>151041.67000000001</v>
      </c>
      <c r="H66" s="32">
        <v>30208.33</v>
      </c>
      <c r="I66" s="30">
        <v>181250</v>
      </c>
    </row>
    <row r="67" spans="1:10" ht="11.1" customHeight="1" collapsed="1" x14ac:dyDescent="0.2">
      <c r="A67" s="109" t="s">
        <v>197</v>
      </c>
      <c r="B67" s="109"/>
      <c r="C67" s="109"/>
      <c r="D67" s="109"/>
      <c r="E67" s="109"/>
      <c r="F67" s="22">
        <v>5</v>
      </c>
      <c r="G67" s="23">
        <v>1955.04</v>
      </c>
      <c r="H67" s="41">
        <v>391.01</v>
      </c>
      <c r="I67" s="23">
        <v>2346.0500000000002</v>
      </c>
      <c r="J67" s="20" t="s">
        <v>1336</v>
      </c>
    </row>
    <row r="68" spans="1:10" s="18" customFormat="1" ht="11.1" hidden="1" customHeight="1" outlineLevel="1" collapsed="1" x14ac:dyDescent="0.2">
      <c r="A68" s="107" t="s">
        <v>198</v>
      </c>
      <c r="B68" s="107"/>
      <c r="C68" s="107"/>
      <c r="D68" s="107"/>
      <c r="E68" s="107"/>
      <c r="F68" s="25">
        <v>1</v>
      </c>
      <c r="G68" s="42">
        <v>391.01</v>
      </c>
      <c r="H68" s="43">
        <v>78.2</v>
      </c>
      <c r="I68" s="42">
        <v>469.21</v>
      </c>
    </row>
    <row r="69" spans="1:10" s="18" customFormat="1" ht="11.1" hidden="1" customHeight="1" outlineLevel="2" collapsed="1" x14ac:dyDescent="0.2">
      <c r="A69" s="108" t="s">
        <v>199</v>
      </c>
      <c r="B69" s="108"/>
      <c r="C69" s="108"/>
      <c r="D69" s="108"/>
      <c r="E69" s="28" t="s">
        <v>147</v>
      </c>
      <c r="F69" s="29">
        <v>1</v>
      </c>
      <c r="G69" s="44">
        <v>391.01</v>
      </c>
      <c r="H69" s="31">
        <v>78.2</v>
      </c>
      <c r="I69" s="44">
        <v>469.21</v>
      </c>
    </row>
    <row r="70" spans="1:10" s="18" customFormat="1" ht="11.1" hidden="1" customHeight="1" outlineLevel="1" collapsed="1" x14ac:dyDescent="0.2">
      <c r="A70" s="107" t="s">
        <v>200</v>
      </c>
      <c r="B70" s="107"/>
      <c r="C70" s="107"/>
      <c r="D70" s="107"/>
      <c r="E70" s="107"/>
      <c r="F70" s="25">
        <v>4</v>
      </c>
      <c r="G70" s="26">
        <v>1564.03</v>
      </c>
      <c r="H70" s="45">
        <v>312.81</v>
      </c>
      <c r="I70" s="26">
        <v>1876.84</v>
      </c>
    </row>
    <row r="71" spans="1:10" s="18" customFormat="1" ht="11.1" hidden="1" customHeight="1" outlineLevel="2" x14ac:dyDescent="0.2">
      <c r="A71" s="108" t="s">
        <v>201</v>
      </c>
      <c r="B71" s="108"/>
      <c r="C71" s="108"/>
      <c r="D71" s="108"/>
      <c r="E71" s="28" t="s">
        <v>147</v>
      </c>
      <c r="F71" s="29">
        <v>4</v>
      </c>
      <c r="G71" s="30">
        <v>1564.03</v>
      </c>
      <c r="H71" s="31">
        <v>312.81</v>
      </c>
      <c r="I71" s="30">
        <v>1876.84</v>
      </c>
    </row>
    <row r="72" spans="1:10" ht="11.1" customHeight="1" collapsed="1" x14ac:dyDescent="0.2">
      <c r="A72" s="109" t="s">
        <v>202</v>
      </c>
      <c r="B72" s="109"/>
      <c r="C72" s="109"/>
      <c r="D72" s="109"/>
      <c r="E72" s="109"/>
      <c r="F72" s="22">
        <v>3</v>
      </c>
      <c r="G72" s="36">
        <v>34525</v>
      </c>
      <c r="H72" s="37">
        <v>6905</v>
      </c>
      <c r="I72" s="36">
        <v>41430</v>
      </c>
      <c r="J72" s="20" t="s">
        <v>1337</v>
      </c>
    </row>
    <row r="73" spans="1:10" s="18" customFormat="1" ht="11.1" hidden="1" customHeight="1" outlineLevel="1" x14ac:dyDescent="0.2">
      <c r="A73" s="107" t="s">
        <v>203</v>
      </c>
      <c r="B73" s="107"/>
      <c r="C73" s="107"/>
      <c r="D73" s="107"/>
      <c r="E73" s="107"/>
      <c r="F73" s="25">
        <v>3</v>
      </c>
      <c r="G73" s="34">
        <v>34525</v>
      </c>
      <c r="H73" s="35">
        <v>6905</v>
      </c>
      <c r="I73" s="34">
        <v>41430</v>
      </c>
    </row>
    <row r="74" spans="1:10" s="18" customFormat="1" ht="21.95" hidden="1" customHeight="1" outlineLevel="2" x14ac:dyDescent="0.2">
      <c r="A74" s="108" t="s">
        <v>204</v>
      </c>
      <c r="B74" s="108"/>
      <c r="C74" s="108"/>
      <c r="D74" s="108"/>
      <c r="E74" s="28" t="s">
        <v>147</v>
      </c>
      <c r="F74" s="29">
        <v>3</v>
      </c>
      <c r="G74" s="30">
        <v>34525</v>
      </c>
      <c r="H74" s="32">
        <v>6905</v>
      </c>
      <c r="I74" s="30">
        <v>41430</v>
      </c>
    </row>
    <row r="75" spans="1:10" ht="11.1" customHeight="1" collapsed="1" x14ac:dyDescent="0.2">
      <c r="A75" s="109" t="s">
        <v>205</v>
      </c>
      <c r="B75" s="109"/>
      <c r="C75" s="109"/>
      <c r="D75" s="109"/>
      <c r="E75" s="109"/>
      <c r="F75" s="22">
        <v>28</v>
      </c>
      <c r="G75" s="23">
        <v>17174.990000000002</v>
      </c>
      <c r="H75" s="24">
        <v>3435.01</v>
      </c>
      <c r="I75" s="36">
        <v>20610</v>
      </c>
      <c r="J75" s="20" t="s">
        <v>1337</v>
      </c>
    </row>
    <row r="76" spans="1:10" s="18" customFormat="1" ht="11.1" hidden="1" customHeight="1" outlineLevel="1" collapsed="1" x14ac:dyDescent="0.2">
      <c r="A76" s="107" t="s">
        <v>206</v>
      </c>
      <c r="B76" s="107"/>
      <c r="C76" s="107"/>
      <c r="D76" s="107"/>
      <c r="E76" s="107"/>
      <c r="F76" s="25">
        <v>9</v>
      </c>
      <c r="G76" s="26">
        <v>6674.99</v>
      </c>
      <c r="H76" s="27">
        <v>1335.01</v>
      </c>
      <c r="I76" s="34">
        <v>8010</v>
      </c>
    </row>
    <row r="77" spans="1:10" s="18" customFormat="1" ht="21.95" hidden="1" customHeight="1" outlineLevel="2" x14ac:dyDescent="0.2">
      <c r="A77" s="108" t="s">
        <v>207</v>
      </c>
      <c r="B77" s="108"/>
      <c r="C77" s="108"/>
      <c r="D77" s="108"/>
      <c r="E77" s="28" t="s">
        <v>147</v>
      </c>
      <c r="F77" s="29">
        <v>2</v>
      </c>
      <c r="G77" s="30">
        <v>1483.33</v>
      </c>
      <c r="H77" s="31">
        <v>296.67</v>
      </c>
      <c r="I77" s="30">
        <v>1780</v>
      </c>
    </row>
    <row r="78" spans="1:10" s="18" customFormat="1" ht="21.95" hidden="1" customHeight="1" outlineLevel="2" x14ac:dyDescent="0.2">
      <c r="A78" s="108" t="s">
        <v>208</v>
      </c>
      <c r="B78" s="108"/>
      <c r="C78" s="108"/>
      <c r="D78" s="108"/>
      <c r="E78" s="28" t="s">
        <v>147</v>
      </c>
      <c r="F78" s="29">
        <v>2</v>
      </c>
      <c r="G78" s="30">
        <v>1483.33</v>
      </c>
      <c r="H78" s="31">
        <v>296.67</v>
      </c>
      <c r="I78" s="30">
        <v>1780</v>
      </c>
    </row>
    <row r="79" spans="1:10" s="18" customFormat="1" ht="21.95" hidden="1" customHeight="1" outlineLevel="2" x14ac:dyDescent="0.2">
      <c r="A79" s="108" t="s">
        <v>209</v>
      </c>
      <c r="B79" s="108"/>
      <c r="C79" s="108"/>
      <c r="D79" s="108"/>
      <c r="E79" s="28" t="s">
        <v>147</v>
      </c>
      <c r="F79" s="29">
        <v>1</v>
      </c>
      <c r="G79" s="44">
        <v>741.67</v>
      </c>
      <c r="H79" s="31">
        <v>148.33000000000001</v>
      </c>
      <c r="I79" s="44">
        <v>890</v>
      </c>
    </row>
    <row r="80" spans="1:10" s="18" customFormat="1" ht="21.95" hidden="1" customHeight="1" outlineLevel="2" x14ac:dyDescent="0.2">
      <c r="A80" s="108" t="s">
        <v>210</v>
      </c>
      <c r="B80" s="108"/>
      <c r="C80" s="108"/>
      <c r="D80" s="108"/>
      <c r="E80" s="28" t="s">
        <v>147</v>
      </c>
      <c r="F80" s="29">
        <v>2</v>
      </c>
      <c r="G80" s="30">
        <v>1483.33</v>
      </c>
      <c r="H80" s="31">
        <v>296.67</v>
      </c>
      <c r="I80" s="30">
        <v>1780</v>
      </c>
    </row>
    <row r="81" spans="1:10" s="18" customFormat="1" ht="21.95" hidden="1" customHeight="1" outlineLevel="2" collapsed="1" x14ac:dyDescent="0.2">
      <c r="A81" s="108" t="s">
        <v>211</v>
      </c>
      <c r="B81" s="108"/>
      <c r="C81" s="108"/>
      <c r="D81" s="108"/>
      <c r="E81" s="28" t="s">
        <v>147</v>
      </c>
      <c r="F81" s="29">
        <v>2</v>
      </c>
      <c r="G81" s="30">
        <v>1483.33</v>
      </c>
      <c r="H81" s="31">
        <v>296.67</v>
      </c>
      <c r="I81" s="30">
        <v>1780</v>
      </c>
    </row>
    <row r="82" spans="1:10" s="18" customFormat="1" ht="11.1" hidden="1" customHeight="1" outlineLevel="1" collapsed="1" x14ac:dyDescent="0.2">
      <c r="A82" s="107" t="s">
        <v>212</v>
      </c>
      <c r="B82" s="107"/>
      <c r="C82" s="107"/>
      <c r="D82" s="107"/>
      <c r="E82" s="107"/>
      <c r="F82" s="25">
        <v>3</v>
      </c>
      <c r="G82" s="34">
        <v>6750</v>
      </c>
      <c r="H82" s="35">
        <v>1350</v>
      </c>
      <c r="I82" s="34">
        <v>8100</v>
      </c>
    </row>
    <row r="83" spans="1:10" s="18" customFormat="1" ht="11.1" hidden="1" customHeight="1" outlineLevel="2" collapsed="1" x14ac:dyDescent="0.2">
      <c r="A83" s="108" t="s">
        <v>213</v>
      </c>
      <c r="B83" s="108"/>
      <c r="C83" s="108"/>
      <c r="D83" s="108"/>
      <c r="E83" s="28" t="s">
        <v>147</v>
      </c>
      <c r="F83" s="29">
        <v>3</v>
      </c>
      <c r="G83" s="30">
        <v>6750</v>
      </c>
      <c r="H83" s="32">
        <v>1350</v>
      </c>
      <c r="I83" s="30">
        <v>8100</v>
      </c>
    </row>
    <row r="84" spans="1:10" s="18" customFormat="1" ht="11.1" hidden="1" customHeight="1" outlineLevel="1" collapsed="1" x14ac:dyDescent="0.2">
      <c r="A84" s="107" t="s">
        <v>214</v>
      </c>
      <c r="B84" s="107"/>
      <c r="C84" s="107"/>
      <c r="D84" s="107"/>
      <c r="E84" s="107"/>
      <c r="F84" s="25">
        <v>15</v>
      </c>
      <c r="G84" s="34">
        <v>1500</v>
      </c>
      <c r="H84" s="46">
        <v>300</v>
      </c>
      <c r="I84" s="34">
        <v>1800</v>
      </c>
    </row>
    <row r="85" spans="1:10" s="18" customFormat="1" ht="21.95" hidden="1" customHeight="1" outlineLevel="2" collapsed="1" x14ac:dyDescent="0.2">
      <c r="A85" s="108" t="s">
        <v>215</v>
      </c>
      <c r="B85" s="108"/>
      <c r="C85" s="108"/>
      <c r="D85" s="108"/>
      <c r="E85" s="28" t="s">
        <v>147</v>
      </c>
      <c r="F85" s="29">
        <v>15</v>
      </c>
      <c r="G85" s="30">
        <v>1500</v>
      </c>
      <c r="H85" s="31">
        <v>300</v>
      </c>
      <c r="I85" s="30">
        <v>1800</v>
      </c>
    </row>
    <row r="86" spans="1:10" s="18" customFormat="1" ht="11.1" hidden="1" customHeight="1" outlineLevel="1" collapsed="1" x14ac:dyDescent="0.2">
      <c r="A86" s="107" t="s">
        <v>216</v>
      </c>
      <c r="B86" s="107"/>
      <c r="C86" s="107"/>
      <c r="D86" s="107"/>
      <c r="E86" s="107"/>
      <c r="F86" s="25">
        <v>1</v>
      </c>
      <c r="G86" s="34">
        <v>2250</v>
      </c>
      <c r="H86" s="46">
        <v>450</v>
      </c>
      <c r="I86" s="34">
        <v>2700</v>
      </c>
    </row>
    <row r="87" spans="1:10" s="18" customFormat="1" ht="11.1" hidden="1" customHeight="1" outlineLevel="2" x14ac:dyDescent="0.2">
      <c r="A87" s="108" t="s">
        <v>213</v>
      </c>
      <c r="B87" s="108"/>
      <c r="C87" s="108"/>
      <c r="D87" s="108"/>
      <c r="E87" s="28" t="s">
        <v>147</v>
      </c>
      <c r="F87" s="29">
        <v>1</v>
      </c>
      <c r="G87" s="30">
        <v>2250</v>
      </c>
      <c r="H87" s="31">
        <v>450</v>
      </c>
      <c r="I87" s="30">
        <v>2700</v>
      </c>
    </row>
    <row r="88" spans="1:10" ht="11.1" customHeight="1" collapsed="1" x14ac:dyDescent="0.2">
      <c r="A88" s="109" t="s">
        <v>217</v>
      </c>
      <c r="B88" s="109"/>
      <c r="C88" s="109"/>
      <c r="D88" s="109"/>
      <c r="E88" s="109"/>
      <c r="F88" s="22">
        <v>1</v>
      </c>
      <c r="G88" s="23">
        <v>12483.33</v>
      </c>
      <c r="H88" s="24">
        <v>2496.67</v>
      </c>
      <c r="I88" s="36">
        <v>14980</v>
      </c>
      <c r="J88" s="20" t="s">
        <v>1337</v>
      </c>
    </row>
    <row r="89" spans="1:10" s="18" customFormat="1" ht="11.1" hidden="1" customHeight="1" outlineLevel="1" x14ac:dyDescent="0.2">
      <c r="A89" s="107" t="s">
        <v>218</v>
      </c>
      <c r="B89" s="107"/>
      <c r="C89" s="107"/>
      <c r="D89" s="107"/>
      <c r="E89" s="107"/>
      <c r="F89" s="25">
        <v>1</v>
      </c>
      <c r="G89" s="26">
        <v>12483.33</v>
      </c>
      <c r="H89" s="27">
        <v>2496.67</v>
      </c>
      <c r="I89" s="34">
        <v>14980</v>
      </c>
    </row>
    <row r="90" spans="1:10" s="18" customFormat="1" ht="11.1" hidden="1" customHeight="1" outlineLevel="2" x14ac:dyDescent="0.2">
      <c r="A90" s="108" t="s">
        <v>219</v>
      </c>
      <c r="B90" s="108"/>
      <c r="C90" s="108"/>
      <c r="D90" s="108"/>
      <c r="E90" s="28" t="s">
        <v>147</v>
      </c>
      <c r="F90" s="29">
        <v>1</v>
      </c>
      <c r="G90" s="30">
        <v>12483.33</v>
      </c>
      <c r="H90" s="32">
        <v>2496.67</v>
      </c>
      <c r="I90" s="30">
        <v>14980</v>
      </c>
    </row>
    <row r="91" spans="1:10" ht="11.1" customHeight="1" collapsed="1" x14ac:dyDescent="0.2">
      <c r="A91" s="109" t="s">
        <v>220</v>
      </c>
      <c r="B91" s="109"/>
      <c r="C91" s="109"/>
      <c r="D91" s="109"/>
      <c r="E91" s="109"/>
      <c r="F91" s="47">
        <v>3831</v>
      </c>
      <c r="G91" s="23">
        <v>30883048.620000001</v>
      </c>
      <c r="H91" s="24">
        <v>6176609.6799999997</v>
      </c>
      <c r="I91" s="38">
        <v>37059658.299999997</v>
      </c>
      <c r="J91" s="20" t="s">
        <v>116</v>
      </c>
    </row>
    <row r="92" spans="1:10" s="18" customFormat="1" ht="11.1" hidden="1" customHeight="1" outlineLevel="1" collapsed="1" x14ac:dyDescent="0.2">
      <c r="A92" s="107" t="s">
        <v>221</v>
      </c>
      <c r="B92" s="107"/>
      <c r="C92" s="107"/>
      <c r="D92" s="107"/>
      <c r="E92" s="107"/>
      <c r="F92" s="25">
        <v>3</v>
      </c>
      <c r="G92" s="34">
        <v>426530</v>
      </c>
      <c r="H92" s="35">
        <v>85306</v>
      </c>
      <c r="I92" s="34">
        <v>511836</v>
      </c>
    </row>
    <row r="93" spans="1:10" s="18" customFormat="1" ht="11.1" hidden="1" customHeight="1" outlineLevel="2" collapsed="1" x14ac:dyDescent="0.2">
      <c r="A93" s="108" t="s">
        <v>222</v>
      </c>
      <c r="B93" s="108"/>
      <c r="C93" s="108"/>
      <c r="D93" s="108"/>
      <c r="E93" s="28" t="s">
        <v>147</v>
      </c>
      <c r="F93" s="29">
        <v>3</v>
      </c>
      <c r="G93" s="30">
        <v>426530</v>
      </c>
      <c r="H93" s="32">
        <v>85306</v>
      </c>
      <c r="I93" s="30">
        <v>511836</v>
      </c>
    </row>
    <row r="94" spans="1:10" s="18" customFormat="1" ht="11.1" hidden="1" customHeight="1" outlineLevel="1" collapsed="1" x14ac:dyDescent="0.2">
      <c r="A94" s="107" t="s">
        <v>223</v>
      </c>
      <c r="B94" s="107"/>
      <c r="C94" s="107"/>
      <c r="D94" s="107"/>
      <c r="E94" s="107"/>
      <c r="F94" s="25">
        <v>739</v>
      </c>
      <c r="G94" s="26">
        <v>4830267.91</v>
      </c>
      <c r="H94" s="27">
        <v>966053.59</v>
      </c>
      <c r="I94" s="39">
        <v>5796321.5</v>
      </c>
    </row>
    <row r="95" spans="1:10" s="18" customFormat="1" ht="11.1" hidden="1" customHeight="1" outlineLevel="2" x14ac:dyDescent="0.2">
      <c r="A95" s="108" t="s">
        <v>224</v>
      </c>
      <c r="B95" s="108"/>
      <c r="C95" s="108"/>
      <c r="D95" s="108"/>
      <c r="E95" s="28" t="s">
        <v>147</v>
      </c>
      <c r="F95" s="29">
        <v>30</v>
      </c>
      <c r="G95" s="30">
        <v>46312.5</v>
      </c>
      <c r="H95" s="32">
        <v>9262.5</v>
      </c>
      <c r="I95" s="30">
        <v>55575</v>
      </c>
    </row>
    <row r="96" spans="1:10" s="18" customFormat="1" ht="11.1" hidden="1" customHeight="1" outlineLevel="2" x14ac:dyDescent="0.2">
      <c r="A96" s="108" t="s">
        <v>225</v>
      </c>
      <c r="B96" s="108"/>
      <c r="C96" s="108"/>
      <c r="D96" s="108"/>
      <c r="E96" s="28" t="s">
        <v>147</v>
      </c>
      <c r="F96" s="29">
        <v>20</v>
      </c>
      <c r="G96" s="30">
        <v>29750</v>
      </c>
      <c r="H96" s="32">
        <v>5950</v>
      </c>
      <c r="I96" s="30">
        <v>35700</v>
      </c>
    </row>
    <row r="97" spans="1:9" s="18" customFormat="1" ht="11.1" hidden="1" customHeight="1" outlineLevel="2" x14ac:dyDescent="0.2">
      <c r="A97" s="108" t="s">
        <v>226</v>
      </c>
      <c r="B97" s="108"/>
      <c r="C97" s="108"/>
      <c r="D97" s="108"/>
      <c r="E97" s="28" t="s">
        <v>147</v>
      </c>
      <c r="F97" s="29">
        <v>8</v>
      </c>
      <c r="G97" s="30">
        <v>15166.67</v>
      </c>
      <c r="H97" s="32">
        <v>3033.33</v>
      </c>
      <c r="I97" s="30">
        <v>18200</v>
      </c>
    </row>
    <row r="98" spans="1:9" s="18" customFormat="1" ht="11.1" hidden="1" customHeight="1" outlineLevel="2" x14ac:dyDescent="0.2">
      <c r="A98" s="108" t="s">
        <v>227</v>
      </c>
      <c r="B98" s="108"/>
      <c r="C98" s="108"/>
      <c r="D98" s="108"/>
      <c r="E98" s="28" t="s">
        <v>147</v>
      </c>
      <c r="F98" s="29">
        <v>24</v>
      </c>
      <c r="G98" s="30">
        <v>5740</v>
      </c>
      <c r="H98" s="32">
        <v>1148</v>
      </c>
      <c r="I98" s="30">
        <v>6888</v>
      </c>
    </row>
    <row r="99" spans="1:9" s="18" customFormat="1" ht="11.1" hidden="1" customHeight="1" outlineLevel="2" x14ac:dyDescent="0.2">
      <c r="A99" s="108" t="s">
        <v>228</v>
      </c>
      <c r="B99" s="108"/>
      <c r="C99" s="108"/>
      <c r="D99" s="108"/>
      <c r="E99" s="28" t="s">
        <v>147</v>
      </c>
      <c r="F99" s="29">
        <v>10</v>
      </c>
      <c r="G99" s="30">
        <v>1283.33</v>
      </c>
      <c r="H99" s="31">
        <v>256.67</v>
      </c>
      <c r="I99" s="30">
        <v>1540</v>
      </c>
    </row>
    <row r="100" spans="1:9" s="18" customFormat="1" ht="11.1" hidden="1" customHeight="1" outlineLevel="2" x14ac:dyDescent="0.2">
      <c r="A100" s="108" t="s">
        <v>229</v>
      </c>
      <c r="B100" s="108"/>
      <c r="C100" s="108"/>
      <c r="D100" s="108"/>
      <c r="E100" s="28" t="s">
        <v>147</v>
      </c>
      <c r="F100" s="29">
        <v>10</v>
      </c>
      <c r="G100" s="30">
        <v>9208.33</v>
      </c>
      <c r="H100" s="32">
        <v>1841.67</v>
      </c>
      <c r="I100" s="30">
        <v>11050</v>
      </c>
    </row>
    <row r="101" spans="1:9" s="18" customFormat="1" ht="11.1" hidden="1" customHeight="1" outlineLevel="2" x14ac:dyDescent="0.2">
      <c r="A101" s="108" t="s">
        <v>230</v>
      </c>
      <c r="B101" s="108"/>
      <c r="C101" s="108"/>
      <c r="D101" s="108"/>
      <c r="E101" s="28" t="s">
        <v>147</v>
      </c>
      <c r="F101" s="29">
        <v>2</v>
      </c>
      <c r="G101" s="30">
        <v>6766.67</v>
      </c>
      <c r="H101" s="32">
        <v>1353.33</v>
      </c>
      <c r="I101" s="30">
        <v>8120</v>
      </c>
    </row>
    <row r="102" spans="1:9" s="18" customFormat="1" ht="11.1" hidden="1" customHeight="1" outlineLevel="2" x14ac:dyDescent="0.2">
      <c r="A102" s="108" t="s">
        <v>231</v>
      </c>
      <c r="B102" s="108"/>
      <c r="C102" s="108"/>
      <c r="D102" s="108"/>
      <c r="E102" s="28" t="s">
        <v>147</v>
      </c>
      <c r="F102" s="29">
        <v>1</v>
      </c>
      <c r="G102" s="30">
        <v>3412.5</v>
      </c>
      <c r="H102" s="31">
        <v>682.5</v>
      </c>
      <c r="I102" s="30">
        <v>4095</v>
      </c>
    </row>
    <row r="103" spans="1:9" s="18" customFormat="1" ht="11.1" hidden="1" customHeight="1" outlineLevel="2" x14ac:dyDescent="0.2">
      <c r="A103" s="108" t="s">
        <v>232</v>
      </c>
      <c r="B103" s="108"/>
      <c r="C103" s="108"/>
      <c r="D103" s="108"/>
      <c r="E103" s="28" t="s">
        <v>147</v>
      </c>
      <c r="F103" s="29">
        <v>5</v>
      </c>
      <c r="G103" s="30">
        <v>271971.67</v>
      </c>
      <c r="H103" s="32">
        <v>54394.33</v>
      </c>
      <c r="I103" s="30">
        <v>326366</v>
      </c>
    </row>
    <row r="104" spans="1:9" s="18" customFormat="1" ht="11.1" hidden="1" customHeight="1" outlineLevel="2" x14ac:dyDescent="0.2">
      <c r="A104" s="108" t="s">
        <v>233</v>
      </c>
      <c r="B104" s="108"/>
      <c r="C104" s="108"/>
      <c r="D104" s="108"/>
      <c r="E104" s="28" t="s">
        <v>147</v>
      </c>
      <c r="F104" s="29">
        <v>2</v>
      </c>
      <c r="G104" s="30">
        <v>402333.33</v>
      </c>
      <c r="H104" s="32">
        <v>80466.67</v>
      </c>
      <c r="I104" s="30">
        <v>482800</v>
      </c>
    </row>
    <row r="105" spans="1:9" s="18" customFormat="1" ht="11.1" hidden="1" customHeight="1" outlineLevel="2" x14ac:dyDescent="0.2">
      <c r="A105" s="108" t="s">
        <v>234</v>
      </c>
      <c r="B105" s="108"/>
      <c r="C105" s="108"/>
      <c r="D105" s="108"/>
      <c r="E105" s="28" t="s">
        <v>147</v>
      </c>
      <c r="F105" s="29">
        <v>7</v>
      </c>
      <c r="G105" s="30">
        <v>2490.83</v>
      </c>
      <c r="H105" s="31">
        <v>498.17</v>
      </c>
      <c r="I105" s="30">
        <v>2989</v>
      </c>
    </row>
    <row r="106" spans="1:9" s="18" customFormat="1" ht="11.1" hidden="1" customHeight="1" outlineLevel="2" x14ac:dyDescent="0.2">
      <c r="A106" s="108" t="s">
        <v>235</v>
      </c>
      <c r="B106" s="108"/>
      <c r="C106" s="108"/>
      <c r="D106" s="108"/>
      <c r="E106" s="28" t="s">
        <v>147</v>
      </c>
      <c r="F106" s="29">
        <v>1</v>
      </c>
      <c r="G106" s="30">
        <v>79333.34</v>
      </c>
      <c r="H106" s="32">
        <v>15866.66</v>
      </c>
      <c r="I106" s="30">
        <v>95200</v>
      </c>
    </row>
    <row r="107" spans="1:9" s="18" customFormat="1" ht="11.1" hidden="1" customHeight="1" outlineLevel="2" x14ac:dyDescent="0.2">
      <c r="A107" s="108" t="s">
        <v>235</v>
      </c>
      <c r="B107" s="108"/>
      <c r="C107" s="108"/>
      <c r="D107" s="108"/>
      <c r="E107" s="28" t="s">
        <v>147</v>
      </c>
      <c r="F107" s="29">
        <v>1</v>
      </c>
      <c r="G107" s="30">
        <v>79333.33</v>
      </c>
      <c r="H107" s="32">
        <v>15866.67</v>
      </c>
      <c r="I107" s="30">
        <v>95200</v>
      </c>
    </row>
    <row r="108" spans="1:9" s="18" customFormat="1" ht="11.1" hidden="1" customHeight="1" outlineLevel="2" x14ac:dyDescent="0.2">
      <c r="A108" s="108" t="s">
        <v>236</v>
      </c>
      <c r="B108" s="108"/>
      <c r="C108" s="108"/>
      <c r="D108" s="108"/>
      <c r="E108" s="28" t="s">
        <v>147</v>
      </c>
      <c r="F108" s="29">
        <v>5</v>
      </c>
      <c r="G108" s="30">
        <v>41708.33</v>
      </c>
      <c r="H108" s="32">
        <v>8341.67</v>
      </c>
      <c r="I108" s="30">
        <v>50050</v>
      </c>
    </row>
    <row r="109" spans="1:9" s="18" customFormat="1" ht="11.1" hidden="1" customHeight="1" outlineLevel="2" x14ac:dyDescent="0.2">
      <c r="A109" s="108" t="s">
        <v>237</v>
      </c>
      <c r="B109" s="108"/>
      <c r="C109" s="108"/>
      <c r="D109" s="108"/>
      <c r="E109" s="28" t="s">
        <v>147</v>
      </c>
      <c r="F109" s="29">
        <v>3</v>
      </c>
      <c r="G109" s="30">
        <v>1575</v>
      </c>
      <c r="H109" s="31">
        <v>315</v>
      </c>
      <c r="I109" s="30">
        <v>1890</v>
      </c>
    </row>
    <row r="110" spans="1:9" s="18" customFormat="1" ht="11.1" hidden="1" customHeight="1" outlineLevel="2" x14ac:dyDescent="0.2">
      <c r="A110" s="108" t="s">
        <v>238</v>
      </c>
      <c r="B110" s="108"/>
      <c r="C110" s="108"/>
      <c r="D110" s="108"/>
      <c r="E110" s="28" t="s">
        <v>147</v>
      </c>
      <c r="F110" s="29">
        <v>5</v>
      </c>
      <c r="G110" s="30">
        <v>15572.92</v>
      </c>
      <c r="H110" s="32">
        <v>3114.58</v>
      </c>
      <c r="I110" s="30">
        <v>18687.5</v>
      </c>
    </row>
    <row r="111" spans="1:9" s="18" customFormat="1" ht="11.1" hidden="1" customHeight="1" outlineLevel="2" x14ac:dyDescent="0.2">
      <c r="A111" s="108" t="s">
        <v>239</v>
      </c>
      <c r="B111" s="108"/>
      <c r="C111" s="108"/>
      <c r="D111" s="108"/>
      <c r="E111" s="28" t="s">
        <v>147</v>
      </c>
      <c r="F111" s="29">
        <v>30</v>
      </c>
      <c r="G111" s="30">
        <v>489825</v>
      </c>
      <c r="H111" s="32">
        <v>97965</v>
      </c>
      <c r="I111" s="30">
        <v>587790</v>
      </c>
    </row>
    <row r="112" spans="1:9" s="18" customFormat="1" ht="11.1" hidden="1" customHeight="1" outlineLevel="2" x14ac:dyDescent="0.2">
      <c r="A112" s="108" t="s">
        <v>240</v>
      </c>
      <c r="B112" s="108"/>
      <c r="C112" s="108"/>
      <c r="D112" s="108"/>
      <c r="E112" s="28" t="s">
        <v>147</v>
      </c>
      <c r="F112" s="29">
        <v>10</v>
      </c>
      <c r="G112" s="30">
        <v>9916.67</v>
      </c>
      <c r="H112" s="32">
        <v>1983.33</v>
      </c>
      <c r="I112" s="30">
        <v>11900</v>
      </c>
    </row>
    <row r="113" spans="1:9" s="18" customFormat="1" ht="11.1" hidden="1" customHeight="1" outlineLevel="2" x14ac:dyDescent="0.2">
      <c r="A113" s="108" t="s">
        <v>241</v>
      </c>
      <c r="B113" s="108"/>
      <c r="C113" s="108"/>
      <c r="D113" s="108"/>
      <c r="E113" s="28" t="s">
        <v>147</v>
      </c>
      <c r="F113" s="29">
        <v>3</v>
      </c>
      <c r="G113" s="30">
        <v>191930</v>
      </c>
      <c r="H113" s="32">
        <v>38386</v>
      </c>
      <c r="I113" s="30">
        <v>230316</v>
      </c>
    </row>
    <row r="114" spans="1:9" s="18" customFormat="1" ht="11.1" hidden="1" customHeight="1" outlineLevel="2" x14ac:dyDescent="0.2">
      <c r="A114" s="108" t="s">
        <v>242</v>
      </c>
      <c r="B114" s="108"/>
      <c r="C114" s="108"/>
      <c r="D114" s="108"/>
      <c r="E114" s="28" t="s">
        <v>147</v>
      </c>
      <c r="F114" s="29">
        <v>2</v>
      </c>
      <c r="G114" s="30">
        <v>10616.67</v>
      </c>
      <c r="H114" s="32">
        <v>2123.33</v>
      </c>
      <c r="I114" s="30">
        <v>12740</v>
      </c>
    </row>
    <row r="115" spans="1:9" s="18" customFormat="1" ht="11.1" hidden="1" customHeight="1" outlineLevel="2" x14ac:dyDescent="0.2">
      <c r="A115" s="108" t="s">
        <v>242</v>
      </c>
      <c r="B115" s="108"/>
      <c r="C115" s="108"/>
      <c r="D115" s="108"/>
      <c r="E115" s="28" t="s">
        <v>147</v>
      </c>
      <c r="F115" s="29">
        <v>2</v>
      </c>
      <c r="G115" s="30">
        <v>10616.66</v>
      </c>
      <c r="H115" s="32">
        <v>2123.34</v>
      </c>
      <c r="I115" s="30">
        <v>12740</v>
      </c>
    </row>
    <row r="116" spans="1:9" s="18" customFormat="1" ht="11.1" hidden="1" customHeight="1" outlineLevel="2" x14ac:dyDescent="0.2">
      <c r="A116" s="108" t="s">
        <v>243</v>
      </c>
      <c r="B116" s="108"/>
      <c r="C116" s="108"/>
      <c r="D116" s="108"/>
      <c r="E116" s="28" t="s">
        <v>147</v>
      </c>
      <c r="F116" s="29">
        <v>1</v>
      </c>
      <c r="G116" s="44">
        <v>344.17</v>
      </c>
      <c r="H116" s="31">
        <v>68.83</v>
      </c>
      <c r="I116" s="44">
        <v>413</v>
      </c>
    </row>
    <row r="117" spans="1:9" s="18" customFormat="1" ht="11.1" hidden="1" customHeight="1" outlineLevel="2" x14ac:dyDescent="0.2">
      <c r="A117" s="108" t="s">
        <v>244</v>
      </c>
      <c r="B117" s="108"/>
      <c r="C117" s="108"/>
      <c r="D117" s="108"/>
      <c r="E117" s="28" t="s">
        <v>147</v>
      </c>
      <c r="F117" s="29">
        <v>33</v>
      </c>
      <c r="G117" s="30">
        <v>7700</v>
      </c>
      <c r="H117" s="32">
        <v>1540</v>
      </c>
      <c r="I117" s="30">
        <v>9240</v>
      </c>
    </row>
    <row r="118" spans="1:9" s="18" customFormat="1" ht="11.1" hidden="1" customHeight="1" outlineLevel="2" x14ac:dyDescent="0.2">
      <c r="A118" s="108" t="s">
        <v>245</v>
      </c>
      <c r="B118" s="108"/>
      <c r="C118" s="108"/>
      <c r="D118" s="108"/>
      <c r="E118" s="28" t="s">
        <v>147</v>
      </c>
      <c r="F118" s="29">
        <v>80</v>
      </c>
      <c r="G118" s="30">
        <v>99233.33</v>
      </c>
      <c r="H118" s="32">
        <v>19846.669999999998</v>
      </c>
      <c r="I118" s="30">
        <v>119080</v>
      </c>
    </row>
    <row r="119" spans="1:9" s="18" customFormat="1" ht="11.1" hidden="1" customHeight="1" outlineLevel="2" x14ac:dyDescent="0.2">
      <c r="A119" s="108" t="s">
        <v>246</v>
      </c>
      <c r="B119" s="108"/>
      <c r="C119" s="108"/>
      <c r="D119" s="108"/>
      <c r="E119" s="28" t="s">
        <v>147</v>
      </c>
      <c r="F119" s="29">
        <v>4</v>
      </c>
      <c r="G119" s="30">
        <v>21466.67</v>
      </c>
      <c r="H119" s="32">
        <v>4293.33</v>
      </c>
      <c r="I119" s="30">
        <v>25760</v>
      </c>
    </row>
    <row r="120" spans="1:9" s="18" customFormat="1" ht="11.1" hidden="1" customHeight="1" outlineLevel="2" x14ac:dyDescent="0.2">
      <c r="A120" s="108" t="s">
        <v>247</v>
      </c>
      <c r="B120" s="108"/>
      <c r="C120" s="108"/>
      <c r="D120" s="108"/>
      <c r="E120" s="28" t="s">
        <v>147</v>
      </c>
      <c r="F120" s="29">
        <v>5</v>
      </c>
      <c r="G120" s="30">
        <v>4083.33</v>
      </c>
      <c r="H120" s="31">
        <v>816.67</v>
      </c>
      <c r="I120" s="30">
        <v>4900</v>
      </c>
    </row>
    <row r="121" spans="1:9" s="18" customFormat="1" ht="11.1" hidden="1" customHeight="1" outlineLevel="2" x14ac:dyDescent="0.2">
      <c r="A121" s="108" t="s">
        <v>248</v>
      </c>
      <c r="B121" s="108"/>
      <c r="C121" s="108"/>
      <c r="D121" s="108"/>
      <c r="E121" s="28" t="s">
        <v>147</v>
      </c>
      <c r="F121" s="29">
        <v>12</v>
      </c>
      <c r="G121" s="30">
        <v>42700</v>
      </c>
      <c r="H121" s="32">
        <v>8540</v>
      </c>
      <c r="I121" s="30">
        <v>51240</v>
      </c>
    </row>
    <row r="122" spans="1:9" s="18" customFormat="1" ht="11.1" hidden="1" customHeight="1" outlineLevel="2" x14ac:dyDescent="0.2">
      <c r="A122" s="108" t="s">
        <v>249</v>
      </c>
      <c r="B122" s="108"/>
      <c r="C122" s="108"/>
      <c r="D122" s="108"/>
      <c r="E122" s="28" t="s">
        <v>147</v>
      </c>
      <c r="F122" s="29">
        <v>3</v>
      </c>
      <c r="G122" s="30">
        <v>4046.25</v>
      </c>
      <c r="H122" s="31">
        <v>809.25</v>
      </c>
      <c r="I122" s="30">
        <v>4855.5</v>
      </c>
    </row>
    <row r="123" spans="1:9" s="18" customFormat="1" ht="11.1" hidden="1" customHeight="1" outlineLevel="2" x14ac:dyDescent="0.2">
      <c r="A123" s="108" t="s">
        <v>249</v>
      </c>
      <c r="B123" s="108"/>
      <c r="C123" s="108"/>
      <c r="D123" s="108"/>
      <c r="E123" s="28" t="s">
        <v>147</v>
      </c>
      <c r="F123" s="29">
        <v>2</v>
      </c>
      <c r="G123" s="30">
        <v>2697.5</v>
      </c>
      <c r="H123" s="31">
        <v>539.5</v>
      </c>
      <c r="I123" s="30">
        <v>3237</v>
      </c>
    </row>
    <row r="124" spans="1:9" s="18" customFormat="1" ht="11.1" hidden="1" customHeight="1" outlineLevel="2" x14ac:dyDescent="0.2">
      <c r="A124" s="108" t="s">
        <v>250</v>
      </c>
      <c r="B124" s="108"/>
      <c r="C124" s="108"/>
      <c r="D124" s="108"/>
      <c r="E124" s="28" t="s">
        <v>147</v>
      </c>
      <c r="F124" s="29">
        <v>60</v>
      </c>
      <c r="G124" s="30">
        <v>15750</v>
      </c>
      <c r="H124" s="32">
        <v>3150</v>
      </c>
      <c r="I124" s="30">
        <v>18900</v>
      </c>
    </row>
    <row r="125" spans="1:9" s="18" customFormat="1" ht="11.1" hidden="1" customHeight="1" outlineLevel="2" x14ac:dyDescent="0.2">
      <c r="A125" s="108" t="s">
        <v>251</v>
      </c>
      <c r="B125" s="108"/>
      <c r="C125" s="108"/>
      <c r="D125" s="108"/>
      <c r="E125" s="28" t="s">
        <v>147</v>
      </c>
      <c r="F125" s="29">
        <v>1</v>
      </c>
      <c r="G125" s="30">
        <v>1662.5</v>
      </c>
      <c r="H125" s="31">
        <v>332.5</v>
      </c>
      <c r="I125" s="30">
        <v>1995</v>
      </c>
    </row>
    <row r="126" spans="1:9" s="18" customFormat="1" ht="11.1" hidden="1" customHeight="1" outlineLevel="2" x14ac:dyDescent="0.2">
      <c r="A126" s="108" t="s">
        <v>252</v>
      </c>
      <c r="B126" s="108"/>
      <c r="C126" s="108"/>
      <c r="D126" s="108"/>
      <c r="E126" s="28" t="s">
        <v>147</v>
      </c>
      <c r="F126" s="29">
        <v>10</v>
      </c>
      <c r="G126" s="30">
        <v>2625</v>
      </c>
      <c r="H126" s="31">
        <v>525</v>
      </c>
      <c r="I126" s="30">
        <v>3150</v>
      </c>
    </row>
    <row r="127" spans="1:9" s="18" customFormat="1" ht="11.1" hidden="1" customHeight="1" outlineLevel="2" x14ac:dyDescent="0.2">
      <c r="A127" s="108" t="s">
        <v>253</v>
      </c>
      <c r="B127" s="108"/>
      <c r="C127" s="108"/>
      <c r="D127" s="108"/>
      <c r="E127" s="28" t="s">
        <v>147</v>
      </c>
      <c r="F127" s="29">
        <v>30</v>
      </c>
      <c r="G127" s="30">
        <v>34125</v>
      </c>
      <c r="H127" s="32">
        <v>6825</v>
      </c>
      <c r="I127" s="30">
        <v>40950</v>
      </c>
    </row>
    <row r="128" spans="1:9" s="18" customFormat="1" ht="11.1" hidden="1" customHeight="1" outlineLevel="2" x14ac:dyDescent="0.2">
      <c r="A128" s="108" t="s">
        <v>254</v>
      </c>
      <c r="B128" s="108"/>
      <c r="C128" s="108"/>
      <c r="D128" s="108"/>
      <c r="E128" s="28" t="s">
        <v>147</v>
      </c>
      <c r="F128" s="29">
        <v>20</v>
      </c>
      <c r="G128" s="30">
        <v>15166.67</v>
      </c>
      <c r="H128" s="32">
        <v>3033.33</v>
      </c>
      <c r="I128" s="30">
        <v>18200</v>
      </c>
    </row>
    <row r="129" spans="1:9" s="18" customFormat="1" ht="11.1" hidden="1" customHeight="1" outlineLevel="2" x14ac:dyDescent="0.2">
      <c r="A129" s="108" t="s">
        <v>255</v>
      </c>
      <c r="B129" s="108"/>
      <c r="C129" s="108"/>
      <c r="D129" s="108"/>
      <c r="E129" s="28" t="s">
        <v>147</v>
      </c>
      <c r="F129" s="29">
        <v>1</v>
      </c>
      <c r="G129" s="30">
        <v>250580</v>
      </c>
      <c r="H129" s="32">
        <v>50116</v>
      </c>
      <c r="I129" s="30">
        <v>300696</v>
      </c>
    </row>
    <row r="130" spans="1:9" s="18" customFormat="1" ht="11.1" hidden="1" customHeight="1" outlineLevel="2" x14ac:dyDescent="0.2">
      <c r="A130" s="108" t="s">
        <v>256</v>
      </c>
      <c r="B130" s="108"/>
      <c r="C130" s="108"/>
      <c r="D130" s="108"/>
      <c r="E130" s="28" t="s">
        <v>147</v>
      </c>
      <c r="F130" s="29">
        <v>15</v>
      </c>
      <c r="G130" s="30">
        <v>74375</v>
      </c>
      <c r="H130" s="32">
        <v>14875</v>
      </c>
      <c r="I130" s="30">
        <v>89250</v>
      </c>
    </row>
    <row r="131" spans="1:9" s="18" customFormat="1" ht="11.1" hidden="1" customHeight="1" outlineLevel="2" x14ac:dyDescent="0.2">
      <c r="A131" s="108" t="s">
        <v>257</v>
      </c>
      <c r="B131" s="108"/>
      <c r="C131" s="108"/>
      <c r="D131" s="108"/>
      <c r="E131" s="28" t="s">
        <v>147</v>
      </c>
      <c r="F131" s="29">
        <v>12</v>
      </c>
      <c r="G131" s="30">
        <v>28700</v>
      </c>
      <c r="H131" s="32">
        <v>5740</v>
      </c>
      <c r="I131" s="30">
        <v>34440</v>
      </c>
    </row>
    <row r="132" spans="1:9" s="18" customFormat="1" ht="11.1" hidden="1" customHeight="1" outlineLevel="2" x14ac:dyDescent="0.2">
      <c r="A132" s="108" t="s">
        <v>258</v>
      </c>
      <c r="B132" s="108"/>
      <c r="C132" s="108"/>
      <c r="D132" s="108"/>
      <c r="E132" s="28" t="s">
        <v>147</v>
      </c>
      <c r="F132" s="29">
        <v>15</v>
      </c>
      <c r="G132" s="30">
        <v>33250</v>
      </c>
      <c r="H132" s="32">
        <v>6650</v>
      </c>
      <c r="I132" s="30">
        <v>39900</v>
      </c>
    </row>
    <row r="133" spans="1:9" s="18" customFormat="1" ht="11.1" hidden="1" customHeight="1" outlineLevel="2" x14ac:dyDescent="0.2">
      <c r="A133" s="108" t="s">
        <v>259</v>
      </c>
      <c r="B133" s="108"/>
      <c r="C133" s="108"/>
      <c r="D133" s="108"/>
      <c r="E133" s="28" t="s">
        <v>147</v>
      </c>
      <c r="F133" s="29">
        <v>1</v>
      </c>
      <c r="G133" s="30">
        <v>1137.5</v>
      </c>
      <c r="H133" s="31">
        <v>227.5</v>
      </c>
      <c r="I133" s="30">
        <v>1365</v>
      </c>
    </row>
    <row r="134" spans="1:9" s="18" customFormat="1" ht="11.1" hidden="1" customHeight="1" outlineLevel="2" x14ac:dyDescent="0.2">
      <c r="A134" s="108" t="s">
        <v>260</v>
      </c>
      <c r="B134" s="108"/>
      <c r="C134" s="108"/>
      <c r="D134" s="108"/>
      <c r="E134" s="28" t="s">
        <v>147</v>
      </c>
      <c r="F134" s="29">
        <v>12</v>
      </c>
      <c r="G134" s="30">
        <v>32550</v>
      </c>
      <c r="H134" s="32">
        <v>6510</v>
      </c>
      <c r="I134" s="30">
        <v>39060</v>
      </c>
    </row>
    <row r="135" spans="1:9" s="18" customFormat="1" ht="11.1" hidden="1" customHeight="1" outlineLevel="2" x14ac:dyDescent="0.2">
      <c r="A135" s="108" t="s">
        <v>261</v>
      </c>
      <c r="B135" s="108"/>
      <c r="C135" s="108"/>
      <c r="D135" s="108"/>
      <c r="E135" s="28" t="s">
        <v>147</v>
      </c>
      <c r="F135" s="29">
        <v>3</v>
      </c>
      <c r="G135" s="30">
        <v>3325</v>
      </c>
      <c r="H135" s="31">
        <v>665</v>
      </c>
      <c r="I135" s="30">
        <v>3990</v>
      </c>
    </row>
    <row r="136" spans="1:9" s="18" customFormat="1" ht="11.1" hidden="1" customHeight="1" outlineLevel="2" x14ac:dyDescent="0.2">
      <c r="A136" s="108" t="s">
        <v>262</v>
      </c>
      <c r="B136" s="108"/>
      <c r="C136" s="108"/>
      <c r="D136" s="108"/>
      <c r="E136" s="28" t="s">
        <v>147</v>
      </c>
      <c r="F136" s="29">
        <v>4</v>
      </c>
      <c r="G136" s="30">
        <v>19283.330000000002</v>
      </c>
      <c r="H136" s="32">
        <v>3856.67</v>
      </c>
      <c r="I136" s="30">
        <v>23140</v>
      </c>
    </row>
    <row r="137" spans="1:9" s="18" customFormat="1" ht="11.1" hidden="1" customHeight="1" outlineLevel="2" x14ac:dyDescent="0.2">
      <c r="A137" s="108" t="s">
        <v>263</v>
      </c>
      <c r="B137" s="108"/>
      <c r="C137" s="108"/>
      <c r="D137" s="108"/>
      <c r="E137" s="28" t="s">
        <v>147</v>
      </c>
      <c r="F137" s="29">
        <v>1</v>
      </c>
      <c r="G137" s="30">
        <v>234316.67</v>
      </c>
      <c r="H137" s="32">
        <v>46863.33</v>
      </c>
      <c r="I137" s="30">
        <v>281180</v>
      </c>
    </row>
    <row r="138" spans="1:9" s="18" customFormat="1" ht="11.1" hidden="1" customHeight="1" outlineLevel="2" x14ac:dyDescent="0.2">
      <c r="A138" s="108" t="s">
        <v>264</v>
      </c>
      <c r="B138" s="108"/>
      <c r="C138" s="108"/>
      <c r="D138" s="108"/>
      <c r="E138" s="28" t="s">
        <v>147</v>
      </c>
      <c r="F138" s="29">
        <v>3</v>
      </c>
      <c r="G138" s="30">
        <v>7231.25</v>
      </c>
      <c r="H138" s="32">
        <v>1446.25</v>
      </c>
      <c r="I138" s="30">
        <v>8677.5</v>
      </c>
    </row>
    <row r="139" spans="1:9" s="18" customFormat="1" ht="11.1" hidden="1" customHeight="1" outlineLevel="2" x14ac:dyDescent="0.2">
      <c r="A139" s="108" t="s">
        <v>264</v>
      </c>
      <c r="B139" s="108"/>
      <c r="C139" s="108"/>
      <c r="D139" s="108"/>
      <c r="E139" s="28" t="s">
        <v>147</v>
      </c>
      <c r="F139" s="29">
        <v>11</v>
      </c>
      <c r="G139" s="30">
        <v>26514.58</v>
      </c>
      <c r="H139" s="32">
        <v>5302.92</v>
      </c>
      <c r="I139" s="30">
        <v>31817.5</v>
      </c>
    </row>
    <row r="140" spans="1:9" s="18" customFormat="1" ht="11.1" hidden="1" customHeight="1" outlineLevel="2" x14ac:dyDescent="0.2">
      <c r="A140" s="108" t="s">
        <v>265</v>
      </c>
      <c r="B140" s="108"/>
      <c r="C140" s="108"/>
      <c r="D140" s="108"/>
      <c r="E140" s="28" t="s">
        <v>147</v>
      </c>
      <c r="F140" s="29">
        <v>150</v>
      </c>
      <c r="G140" s="30">
        <v>1267875</v>
      </c>
      <c r="H140" s="32">
        <v>253575</v>
      </c>
      <c r="I140" s="30">
        <v>1521450</v>
      </c>
    </row>
    <row r="141" spans="1:9" s="18" customFormat="1" ht="11.1" hidden="1" customHeight="1" outlineLevel="2" x14ac:dyDescent="0.2">
      <c r="A141" s="108" t="s">
        <v>266</v>
      </c>
      <c r="B141" s="108"/>
      <c r="C141" s="108"/>
      <c r="D141" s="108"/>
      <c r="E141" s="28" t="s">
        <v>147</v>
      </c>
      <c r="F141" s="29">
        <v>5</v>
      </c>
      <c r="G141" s="30">
        <v>13677.08</v>
      </c>
      <c r="H141" s="32">
        <v>2735.42</v>
      </c>
      <c r="I141" s="30">
        <v>16412.5</v>
      </c>
    </row>
    <row r="142" spans="1:9" s="18" customFormat="1" ht="11.1" hidden="1" customHeight="1" outlineLevel="2" x14ac:dyDescent="0.2">
      <c r="A142" s="108" t="s">
        <v>267</v>
      </c>
      <c r="B142" s="108"/>
      <c r="C142" s="108"/>
      <c r="D142" s="108"/>
      <c r="E142" s="28" t="s">
        <v>147</v>
      </c>
      <c r="F142" s="29">
        <v>1</v>
      </c>
      <c r="G142" s="44">
        <v>390.84</v>
      </c>
      <c r="H142" s="31">
        <v>78.16</v>
      </c>
      <c r="I142" s="44">
        <v>469</v>
      </c>
    </row>
    <row r="143" spans="1:9" s="18" customFormat="1" ht="11.1" hidden="1" customHeight="1" outlineLevel="2" x14ac:dyDescent="0.2">
      <c r="A143" s="108" t="s">
        <v>267</v>
      </c>
      <c r="B143" s="108"/>
      <c r="C143" s="108"/>
      <c r="D143" s="108"/>
      <c r="E143" s="28" t="s">
        <v>147</v>
      </c>
      <c r="F143" s="29">
        <v>1</v>
      </c>
      <c r="G143" s="44">
        <v>390.83</v>
      </c>
      <c r="H143" s="31">
        <v>78.17</v>
      </c>
      <c r="I143" s="44">
        <v>469</v>
      </c>
    </row>
    <row r="144" spans="1:9" s="18" customFormat="1" ht="11.1" hidden="1" customHeight="1" outlineLevel="2" x14ac:dyDescent="0.2">
      <c r="A144" s="108" t="s">
        <v>268</v>
      </c>
      <c r="B144" s="108"/>
      <c r="C144" s="108"/>
      <c r="D144" s="108"/>
      <c r="E144" s="28" t="s">
        <v>147</v>
      </c>
      <c r="F144" s="29">
        <v>1</v>
      </c>
      <c r="G144" s="44">
        <v>787.5</v>
      </c>
      <c r="H144" s="31">
        <v>157.5</v>
      </c>
      <c r="I144" s="44">
        <v>945</v>
      </c>
    </row>
    <row r="145" spans="1:9" s="18" customFormat="1" ht="11.1" hidden="1" customHeight="1" outlineLevel="2" x14ac:dyDescent="0.2">
      <c r="A145" s="108" t="s">
        <v>269</v>
      </c>
      <c r="B145" s="108"/>
      <c r="C145" s="108"/>
      <c r="D145" s="108"/>
      <c r="E145" s="28" t="s">
        <v>147</v>
      </c>
      <c r="F145" s="29">
        <v>2</v>
      </c>
      <c r="G145" s="44">
        <v>373.33</v>
      </c>
      <c r="H145" s="31">
        <v>74.67</v>
      </c>
      <c r="I145" s="44">
        <v>448</v>
      </c>
    </row>
    <row r="146" spans="1:9" s="18" customFormat="1" ht="11.1" hidden="1" customHeight="1" outlineLevel="2" x14ac:dyDescent="0.2">
      <c r="A146" s="108" t="s">
        <v>270</v>
      </c>
      <c r="B146" s="108"/>
      <c r="C146" s="108"/>
      <c r="D146" s="108"/>
      <c r="E146" s="28" t="s">
        <v>147</v>
      </c>
      <c r="F146" s="29">
        <v>2</v>
      </c>
      <c r="G146" s="30">
        <v>8050</v>
      </c>
      <c r="H146" s="32">
        <v>1610</v>
      </c>
      <c r="I146" s="30">
        <v>9660</v>
      </c>
    </row>
    <row r="147" spans="1:9" s="18" customFormat="1" ht="11.1" hidden="1" customHeight="1" outlineLevel="2" x14ac:dyDescent="0.2">
      <c r="A147" s="108" t="s">
        <v>271</v>
      </c>
      <c r="B147" s="108"/>
      <c r="C147" s="108"/>
      <c r="D147" s="108"/>
      <c r="E147" s="28" t="s">
        <v>147</v>
      </c>
      <c r="F147" s="29">
        <v>8</v>
      </c>
      <c r="G147" s="30">
        <v>12746.67</v>
      </c>
      <c r="H147" s="32">
        <v>2549.33</v>
      </c>
      <c r="I147" s="30">
        <v>15296</v>
      </c>
    </row>
    <row r="148" spans="1:9" s="18" customFormat="1" ht="11.1" hidden="1" customHeight="1" outlineLevel="2" x14ac:dyDescent="0.2">
      <c r="A148" s="108" t="s">
        <v>272</v>
      </c>
      <c r="B148" s="108"/>
      <c r="C148" s="108"/>
      <c r="D148" s="108"/>
      <c r="E148" s="28" t="s">
        <v>147</v>
      </c>
      <c r="F148" s="29">
        <v>2</v>
      </c>
      <c r="G148" s="30">
        <v>284353.33</v>
      </c>
      <c r="H148" s="32">
        <v>56870.67</v>
      </c>
      <c r="I148" s="30">
        <v>341224</v>
      </c>
    </row>
    <row r="149" spans="1:9" s="18" customFormat="1" ht="11.1" hidden="1" customHeight="1" outlineLevel="2" x14ac:dyDescent="0.2">
      <c r="A149" s="108" t="s">
        <v>273</v>
      </c>
      <c r="B149" s="108"/>
      <c r="C149" s="108"/>
      <c r="D149" s="108"/>
      <c r="E149" s="28" t="s">
        <v>147</v>
      </c>
      <c r="F149" s="29">
        <v>2</v>
      </c>
      <c r="G149" s="30">
        <v>1866.67</v>
      </c>
      <c r="H149" s="31">
        <v>373.33</v>
      </c>
      <c r="I149" s="30">
        <v>2240</v>
      </c>
    </row>
    <row r="150" spans="1:9" s="18" customFormat="1" ht="11.1" hidden="1" customHeight="1" outlineLevel="2" x14ac:dyDescent="0.2">
      <c r="A150" s="108" t="s">
        <v>274</v>
      </c>
      <c r="B150" s="108"/>
      <c r="C150" s="108"/>
      <c r="D150" s="108"/>
      <c r="E150" s="28" t="s">
        <v>147</v>
      </c>
      <c r="F150" s="29">
        <v>20</v>
      </c>
      <c r="G150" s="30">
        <v>443216.67</v>
      </c>
      <c r="H150" s="32">
        <v>88643.33</v>
      </c>
      <c r="I150" s="30">
        <v>531860</v>
      </c>
    </row>
    <row r="151" spans="1:9" s="18" customFormat="1" ht="11.1" hidden="1" customHeight="1" outlineLevel="2" x14ac:dyDescent="0.2">
      <c r="A151" s="108" t="s">
        <v>275</v>
      </c>
      <c r="B151" s="108"/>
      <c r="C151" s="108"/>
      <c r="D151" s="108"/>
      <c r="E151" s="28" t="s">
        <v>147</v>
      </c>
      <c r="F151" s="29">
        <v>2</v>
      </c>
      <c r="G151" s="30">
        <v>19600</v>
      </c>
      <c r="H151" s="32">
        <v>3920</v>
      </c>
      <c r="I151" s="30">
        <v>23520</v>
      </c>
    </row>
    <row r="152" spans="1:9" s="18" customFormat="1" ht="11.1" hidden="1" customHeight="1" outlineLevel="2" x14ac:dyDescent="0.2">
      <c r="A152" s="108" t="s">
        <v>276</v>
      </c>
      <c r="B152" s="108"/>
      <c r="C152" s="108"/>
      <c r="D152" s="108"/>
      <c r="E152" s="28" t="s">
        <v>147</v>
      </c>
      <c r="F152" s="29">
        <v>1</v>
      </c>
      <c r="G152" s="30">
        <v>4316.67</v>
      </c>
      <c r="H152" s="31">
        <v>863.33</v>
      </c>
      <c r="I152" s="30">
        <v>5180</v>
      </c>
    </row>
    <row r="153" spans="1:9" s="18" customFormat="1" ht="11.1" hidden="1" customHeight="1" outlineLevel="2" x14ac:dyDescent="0.2">
      <c r="A153" s="108" t="s">
        <v>276</v>
      </c>
      <c r="B153" s="108"/>
      <c r="C153" s="108"/>
      <c r="D153" s="108"/>
      <c r="E153" s="28" t="s">
        <v>147</v>
      </c>
      <c r="F153" s="29">
        <v>2</v>
      </c>
      <c r="G153" s="30">
        <v>8633.33</v>
      </c>
      <c r="H153" s="32">
        <v>1726.67</v>
      </c>
      <c r="I153" s="30">
        <v>10360</v>
      </c>
    </row>
    <row r="154" spans="1:9" s="18" customFormat="1" ht="11.1" hidden="1" customHeight="1" outlineLevel="2" x14ac:dyDescent="0.2">
      <c r="A154" s="108" t="s">
        <v>277</v>
      </c>
      <c r="B154" s="108"/>
      <c r="C154" s="108"/>
      <c r="D154" s="108"/>
      <c r="E154" s="28" t="s">
        <v>147</v>
      </c>
      <c r="F154" s="29">
        <v>2</v>
      </c>
      <c r="G154" s="30">
        <v>9208.33</v>
      </c>
      <c r="H154" s="32">
        <v>1841.67</v>
      </c>
      <c r="I154" s="30">
        <v>11050</v>
      </c>
    </row>
    <row r="155" spans="1:9" s="18" customFormat="1" ht="11.1" hidden="1" customHeight="1" outlineLevel="2" x14ac:dyDescent="0.2">
      <c r="A155" s="108" t="s">
        <v>278</v>
      </c>
      <c r="B155" s="108"/>
      <c r="C155" s="108"/>
      <c r="D155" s="108"/>
      <c r="E155" s="28" t="s">
        <v>147</v>
      </c>
      <c r="F155" s="29">
        <v>5</v>
      </c>
      <c r="G155" s="30">
        <v>47250</v>
      </c>
      <c r="H155" s="32">
        <v>9450</v>
      </c>
      <c r="I155" s="30">
        <v>56700</v>
      </c>
    </row>
    <row r="156" spans="1:9" s="18" customFormat="1" ht="11.1" hidden="1" customHeight="1" outlineLevel="2" x14ac:dyDescent="0.2">
      <c r="A156" s="108" t="s">
        <v>279</v>
      </c>
      <c r="B156" s="108"/>
      <c r="C156" s="108"/>
      <c r="D156" s="108"/>
      <c r="E156" s="28" t="s">
        <v>147</v>
      </c>
      <c r="F156" s="29">
        <v>1</v>
      </c>
      <c r="G156" s="30">
        <v>1720.83</v>
      </c>
      <c r="H156" s="31">
        <v>344.17</v>
      </c>
      <c r="I156" s="30">
        <v>2065</v>
      </c>
    </row>
    <row r="157" spans="1:9" s="18" customFormat="1" ht="11.1" hidden="1" customHeight="1" outlineLevel="2" x14ac:dyDescent="0.2">
      <c r="A157" s="108" t="s">
        <v>280</v>
      </c>
      <c r="B157" s="108"/>
      <c r="C157" s="108"/>
      <c r="D157" s="108"/>
      <c r="E157" s="28" t="s">
        <v>147</v>
      </c>
      <c r="F157" s="29">
        <v>4</v>
      </c>
      <c r="G157" s="30">
        <v>4433.33</v>
      </c>
      <c r="H157" s="31">
        <v>886.67</v>
      </c>
      <c r="I157" s="30">
        <v>5320</v>
      </c>
    </row>
    <row r="158" spans="1:9" s="18" customFormat="1" ht="11.1" hidden="1" customHeight="1" outlineLevel="2" collapsed="1" x14ac:dyDescent="0.2">
      <c r="A158" s="108" t="s">
        <v>281</v>
      </c>
      <c r="B158" s="108"/>
      <c r="C158" s="108"/>
      <c r="D158" s="108"/>
      <c r="E158" s="28" t="s">
        <v>147</v>
      </c>
      <c r="F158" s="29">
        <v>8</v>
      </c>
      <c r="G158" s="30">
        <v>13650</v>
      </c>
      <c r="H158" s="32">
        <v>2730</v>
      </c>
      <c r="I158" s="30">
        <v>16380</v>
      </c>
    </row>
    <row r="159" spans="1:9" s="18" customFormat="1" ht="11.1" hidden="1" customHeight="1" outlineLevel="1" collapsed="1" x14ac:dyDescent="0.2">
      <c r="A159" s="107" t="s">
        <v>282</v>
      </c>
      <c r="B159" s="107"/>
      <c r="C159" s="107"/>
      <c r="D159" s="107"/>
      <c r="E159" s="107"/>
      <c r="F159" s="25">
        <v>785</v>
      </c>
      <c r="G159" s="26">
        <v>2109182.09</v>
      </c>
      <c r="H159" s="27">
        <v>421836.41</v>
      </c>
      <c r="I159" s="39">
        <v>2531018.5</v>
      </c>
    </row>
    <row r="160" spans="1:9" s="18" customFormat="1" ht="11.1" hidden="1" customHeight="1" outlineLevel="2" x14ac:dyDescent="0.2">
      <c r="A160" s="108" t="s">
        <v>283</v>
      </c>
      <c r="B160" s="108"/>
      <c r="C160" s="108"/>
      <c r="D160" s="108"/>
      <c r="E160" s="28" t="s">
        <v>147</v>
      </c>
      <c r="F160" s="29">
        <v>1</v>
      </c>
      <c r="G160" s="30">
        <v>2012.5</v>
      </c>
      <c r="H160" s="31">
        <v>402.5</v>
      </c>
      <c r="I160" s="30">
        <v>2415</v>
      </c>
    </row>
    <row r="161" spans="1:9" s="18" customFormat="1" ht="11.1" hidden="1" customHeight="1" outlineLevel="2" x14ac:dyDescent="0.2">
      <c r="A161" s="108" t="s">
        <v>283</v>
      </c>
      <c r="B161" s="108"/>
      <c r="C161" s="108"/>
      <c r="D161" s="108"/>
      <c r="E161" s="28" t="s">
        <v>147</v>
      </c>
      <c r="F161" s="29">
        <v>1</v>
      </c>
      <c r="G161" s="30">
        <v>2012.5</v>
      </c>
      <c r="H161" s="31">
        <v>402.5</v>
      </c>
      <c r="I161" s="30">
        <v>2415</v>
      </c>
    </row>
    <row r="162" spans="1:9" s="18" customFormat="1" ht="11.1" hidden="1" customHeight="1" outlineLevel="2" x14ac:dyDescent="0.2">
      <c r="A162" s="108" t="s">
        <v>284</v>
      </c>
      <c r="B162" s="108"/>
      <c r="C162" s="108"/>
      <c r="D162" s="108"/>
      <c r="E162" s="28" t="s">
        <v>147</v>
      </c>
      <c r="F162" s="29">
        <v>2</v>
      </c>
      <c r="G162" s="30">
        <v>5958.33</v>
      </c>
      <c r="H162" s="32">
        <v>1191.67</v>
      </c>
      <c r="I162" s="30">
        <v>7150</v>
      </c>
    </row>
    <row r="163" spans="1:9" s="18" customFormat="1" ht="11.1" hidden="1" customHeight="1" outlineLevel="2" x14ac:dyDescent="0.2">
      <c r="A163" s="108" t="s">
        <v>285</v>
      </c>
      <c r="B163" s="108"/>
      <c r="C163" s="108"/>
      <c r="D163" s="108"/>
      <c r="E163" s="28" t="s">
        <v>147</v>
      </c>
      <c r="F163" s="29">
        <v>4</v>
      </c>
      <c r="G163" s="30">
        <v>24700</v>
      </c>
      <c r="H163" s="32">
        <v>4940</v>
      </c>
      <c r="I163" s="30">
        <v>29640</v>
      </c>
    </row>
    <row r="164" spans="1:9" s="18" customFormat="1" ht="11.1" hidden="1" customHeight="1" outlineLevel="2" x14ac:dyDescent="0.2">
      <c r="A164" s="108" t="s">
        <v>286</v>
      </c>
      <c r="B164" s="108"/>
      <c r="C164" s="108"/>
      <c r="D164" s="108"/>
      <c r="E164" s="28" t="s">
        <v>147</v>
      </c>
      <c r="F164" s="29">
        <v>30</v>
      </c>
      <c r="G164" s="30">
        <v>21000</v>
      </c>
      <c r="H164" s="32">
        <v>4200</v>
      </c>
      <c r="I164" s="30">
        <v>25200</v>
      </c>
    </row>
    <row r="165" spans="1:9" s="18" customFormat="1" ht="11.1" hidden="1" customHeight="1" outlineLevel="2" x14ac:dyDescent="0.2">
      <c r="A165" s="108" t="s">
        <v>287</v>
      </c>
      <c r="B165" s="108"/>
      <c r="C165" s="108"/>
      <c r="D165" s="108"/>
      <c r="E165" s="28" t="s">
        <v>147</v>
      </c>
      <c r="F165" s="29">
        <v>3</v>
      </c>
      <c r="G165" s="30">
        <v>6125</v>
      </c>
      <c r="H165" s="32">
        <v>1225</v>
      </c>
      <c r="I165" s="30">
        <v>7350</v>
      </c>
    </row>
    <row r="166" spans="1:9" s="18" customFormat="1" ht="11.1" hidden="1" customHeight="1" outlineLevel="2" x14ac:dyDescent="0.2">
      <c r="A166" s="108" t="s">
        <v>288</v>
      </c>
      <c r="B166" s="108"/>
      <c r="C166" s="108"/>
      <c r="D166" s="108"/>
      <c r="E166" s="28" t="s">
        <v>147</v>
      </c>
      <c r="F166" s="29">
        <v>8</v>
      </c>
      <c r="G166" s="30">
        <v>36790</v>
      </c>
      <c r="H166" s="32">
        <v>7358</v>
      </c>
      <c r="I166" s="30">
        <v>44148</v>
      </c>
    </row>
    <row r="167" spans="1:9" s="18" customFormat="1" ht="11.1" hidden="1" customHeight="1" outlineLevel="2" x14ac:dyDescent="0.2">
      <c r="A167" s="108" t="s">
        <v>289</v>
      </c>
      <c r="B167" s="108"/>
      <c r="C167" s="108"/>
      <c r="D167" s="108"/>
      <c r="E167" s="28" t="s">
        <v>147</v>
      </c>
      <c r="F167" s="29">
        <v>6</v>
      </c>
      <c r="G167" s="30">
        <v>29575</v>
      </c>
      <c r="H167" s="32">
        <v>5915</v>
      </c>
      <c r="I167" s="30">
        <v>35490</v>
      </c>
    </row>
    <row r="168" spans="1:9" s="18" customFormat="1" ht="11.1" hidden="1" customHeight="1" outlineLevel="2" x14ac:dyDescent="0.2">
      <c r="A168" s="108" t="s">
        <v>290</v>
      </c>
      <c r="B168" s="108"/>
      <c r="C168" s="108"/>
      <c r="D168" s="108"/>
      <c r="E168" s="28" t="s">
        <v>147</v>
      </c>
      <c r="F168" s="29">
        <v>1</v>
      </c>
      <c r="G168" s="30">
        <v>25141.67</v>
      </c>
      <c r="H168" s="32">
        <v>5028.33</v>
      </c>
      <c r="I168" s="30">
        <v>30170</v>
      </c>
    </row>
    <row r="169" spans="1:9" s="18" customFormat="1" ht="11.1" hidden="1" customHeight="1" outlineLevel="2" x14ac:dyDescent="0.2">
      <c r="A169" s="108" t="s">
        <v>291</v>
      </c>
      <c r="B169" s="108"/>
      <c r="C169" s="108"/>
      <c r="D169" s="108"/>
      <c r="E169" s="28" t="s">
        <v>147</v>
      </c>
      <c r="F169" s="29">
        <v>11</v>
      </c>
      <c r="G169" s="30">
        <v>5710.83</v>
      </c>
      <c r="H169" s="32">
        <v>1142.17</v>
      </c>
      <c r="I169" s="30">
        <v>6853</v>
      </c>
    </row>
    <row r="170" spans="1:9" s="18" customFormat="1" ht="11.1" hidden="1" customHeight="1" outlineLevel="2" x14ac:dyDescent="0.2">
      <c r="A170" s="108" t="s">
        <v>292</v>
      </c>
      <c r="B170" s="108"/>
      <c r="C170" s="108"/>
      <c r="D170" s="108"/>
      <c r="E170" s="28" t="s">
        <v>147</v>
      </c>
      <c r="F170" s="29">
        <v>15</v>
      </c>
      <c r="G170" s="30">
        <v>21437.5</v>
      </c>
      <c r="H170" s="32">
        <v>4287.5</v>
      </c>
      <c r="I170" s="30">
        <v>25725</v>
      </c>
    </row>
    <row r="171" spans="1:9" s="18" customFormat="1" ht="11.1" hidden="1" customHeight="1" outlineLevel="2" x14ac:dyDescent="0.2">
      <c r="A171" s="108" t="s">
        <v>293</v>
      </c>
      <c r="B171" s="108"/>
      <c r="C171" s="108"/>
      <c r="D171" s="108"/>
      <c r="E171" s="28" t="s">
        <v>147</v>
      </c>
      <c r="F171" s="29">
        <v>1</v>
      </c>
      <c r="G171" s="30">
        <v>1895.83</v>
      </c>
      <c r="H171" s="31">
        <v>379.17</v>
      </c>
      <c r="I171" s="30">
        <v>2275</v>
      </c>
    </row>
    <row r="172" spans="1:9" s="18" customFormat="1" ht="11.1" hidden="1" customHeight="1" outlineLevel="2" x14ac:dyDescent="0.2">
      <c r="A172" s="108" t="s">
        <v>294</v>
      </c>
      <c r="B172" s="108"/>
      <c r="C172" s="108"/>
      <c r="D172" s="108"/>
      <c r="E172" s="28" t="s">
        <v>147</v>
      </c>
      <c r="F172" s="29">
        <v>7</v>
      </c>
      <c r="G172" s="30">
        <v>60025</v>
      </c>
      <c r="H172" s="32">
        <v>12005</v>
      </c>
      <c r="I172" s="30">
        <v>72030</v>
      </c>
    </row>
    <row r="173" spans="1:9" s="18" customFormat="1" ht="11.1" hidden="1" customHeight="1" outlineLevel="2" x14ac:dyDescent="0.2">
      <c r="A173" s="108" t="s">
        <v>295</v>
      </c>
      <c r="B173" s="108"/>
      <c r="C173" s="108"/>
      <c r="D173" s="108"/>
      <c r="E173" s="28" t="s">
        <v>147</v>
      </c>
      <c r="F173" s="29">
        <v>3</v>
      </c>
      <c r="G173" s="30">
        <v>5443.75</v>
      </c>
      <c r="H173" s="32">
        <v>1088.75</v>
      </c>
      <c r="I173" s="30">
        <v>6532.5</v>
      </c>
    </row>
    <row r="174" spans="1:9" s="18" customFormat="1" ht="11.1" hidden="1" customHeight="1" outlineLevel="2" x14ac:dyDescent="0.2">
      <c r="A174" s="108" t="s">
        <v>296</v>
      </c>
      <c r="B174" s="108"/>
      <c r="C174" s="108"/>
      <c r="D174" s="108"/>
      <c r="E174" s="28" t="s">
        <v>147</v>
      </c>
      <c r="F174" s="29">
        <v>12</v>
      </c>
      <c r="G174" s="30">
        <v>105000</v>
      </c>
      <c r="H174" s="32">
        <v>21000</v>
      </c>
      <c r="I174" s="30">
        <v>126000</v>
      </c>
    </row>
    <row r="175" spans="1:9" s="18" customFormat="1" ht="11.1" hidden="1" customHeight="1" outlineLevel="2" x14ac:dyDescent="0.2">
      <c r="A175" s="108" t="s">
        <v>297</v>
      </c>
      <c r="B175" s="108"/>
      <c r="C175" s="108"/>
      <c r="D175" s="108"/>
      <c r="E175" s="28" t="s">
        <v>147</v>
      </c>
      <c r="F175" s="29">
        <v>4</v>
      </c>
      <c r="G175" s="30">
        <v>3150</v>
      </c>
      <c r="H175" s="31">
        <v>630</v>
      </c>
      <c r="I175" s="30">
        <v>3780</v>
      </c>
    </row>
    <row r="176" spans="1:9" s="18" customFormat="1" ht="11.1" hidden="1" customHeight="1" outlineLevel="2" x14ac:dyDescent="0.2">
      <c r="A176" s="108" t="s">
        <v>297</v>
      </c>
      <c r="B176" s="108"/>
      <c r="C176" s="108"/>
      <c r="D176" s="108"/>
      <c r="E176" s="28" t="s">
        <v>147</v>
      </c>
      <c r="F176" s="29">
        <v>2</v>
      </c>
      <c r="G176" s="30">
        <v>1575</v>
      </c>
      <c r="H176" s="31">
        <v>315</v>
      </c>
      <c r="I176" s="30">
        <v>1890</v>
      </c>
    </row>
    <row r="177" spans="1:9" s="18" customFormat="1" ht="11.1" hidden="1" customHeight="1" outlineLevel="2" x14ac:dyDescent="0.2">
      <c r="A177" s="108" t="s">
        <v>297</v>
      </c>
      <c r="B177" s="108"/>
      <c r="C177" s="108"/>
      <c r="D177" s="108"/>
      <c r="E177" s="28" t="s">
        <v>147</v>
      </c>
      <c r="F177" s="29">
        <v>2</v>
      </c>
      <c r="G177" s="30">
        <v>1575</v>
      </c>
      <c r="H177" s="31">
        <v>315</v>
      </c>
      <c r="I177" s="30">
        <v>1890</v>
      </c>
    </row>
    <row r="178" spans="1:9" s="18" customFormat="1" ht="11.1" hidden="1" customHeight="1" outlineLevel="2" x14ac:dyDescent="0.2">
      <c r="A178" s="108" t="s">
        <v>298</v>
      </c>
      <c r="B178" s="108"/>
      <c r="C178" s="108"/>
      <c r="D178" s="108"/>
      <c r="E178" s="28" t="s">
        <v>147</v>
      </c>
      <c r="F178" s="29">
        <v>30</v>
      </c>
      <c r="G178" s="30">
        <v>44687.5</v>
      </c>
      <c r="H178" s="32">
        <v>8937.5</v>
      </c>
      <c r="I178" s="30">
        <v>53625</v>
      </c>
    </row>
    <row r="179" spans="1:9" s="18" customFormat="1" ht="11.1" hidden="1" customHeight="1" outlineLevel="2" x14ac:dyDescent="0.2">
      <c r="A179" s="108" t="s">
        <v>299</v>
      </c>
      <c r="B179" s="108"/>
      <c r="C179" s="108"/>
      <c r="D179" s="108"/>
      <c r="E179" s="28" t="s">
        <v>147</v>
      </c>
      <c r="F179" s="29">
        <v>6</v>
      </c>
      <c r="G179" s="30">
        <v>17675</v>
      </c>
      <c r="H179" s="32">
        <v>3535</v>
      </c>
      <c r="I179" s="30">
        <v>21210</v>
      </c>
    </row>
    <row r="180" spans="1:9" s="18" customFormat="1" ht="11.1" hidden="1" customHeight="1" outlineLevel="2" x14ac:dyDescent="0.2">
      <c r="A180" s="108" t="s">
        <v>300</v>
      </c>
      <c r="B180" s="108"/>
      <c r="C180" s="108"/>
      <c r="D180" s="108"/>
      <c r="E180" s="28" t="s">
        <v>147</v>
      </c>
      <c r="F180" s="29">
        <v>10</v>
      </c>
      <c r="G180" s="30">
        <v>232166.67</v>
      </c>
      <c r="H180" s="32">
        <v>46433.33</v>
      </c>
      <c r="I180" s="30">
        <v>278600</v>
      </c>
    </row>
    <row r="181" spans="1:9" s="18" customFormat="1" ht="11.1" hidden="1" customHeight="1" outlineLevel="2" x14ac:dyDescent="0.2">
      <c r="A181" s="108" t="s">
        <v>301</v>
      </c>
      <c r="B181" s="108"/>
      <c r="C181" s="108"/>
      <c r="D181" s="108"/>
      <c r="E181" s="28" t="s">
        <v>147</v>
      </c>
      <c r="F181" s="29">
        <v>14</v>
      </c>
      <c r="G181" s="30">
        <v>81520.83</v>
      </c>
      <c r="H181" s="32">
        <v>16304.17</v>
      </c>
      <c r="I181" s="30">
        <v>97825</v>
      </c>
    </row>
    <row r="182" spans="1:9" s="18" customFormat="1" ht="11.1" hidden="1" customHeight="1" outlineLevel="2" x14ac:dyDescent="0.2">
      <c r="A182" s="108" t="s">
        <v>264</v>
      </c>
      <c r="B182" s="108"/>
      <c r="C182" s="108"/>
      <c r="D182" s="108"/>
      <c r="E182" s="28" t="s">
        <v>147</v>
      </c>
      <c r="F182" s="29">
        <v>12</v>
      </c>
      <c r="G182" s="30">
        <v>28925</v>
      </c>
      <c r="H182" s="32">
        <v>5785</v>
      </c>
      <c r="I182" s="30">
        <v>34710</v>
      </c>
    </row>
    <row r="183" spans="1:9" s="18" customFormat="1" ht="11.1" hidden="1" customHeight="1" outlineLevel="2" x14ac:dyDescent="0.2">
      <c r="A183" s="108" t="s">
        <v>302</v>
      </c>
      <c r="B183" s="108"/>
      <c r="C183" s="108"/>
      <c r="D183" s="108"/>
      <c r="E183" s="28" t="s">
        <v>147</v>
      </c>
      <c r="F183" s="29">
        <v>2</v>
      </c>
      <c r="G183" s="30">
        <v>2625</v>
      </c>
      <c r="H183" s="31">
        <v>525</v>
      </c>
      <c r="I183" s="30">
        <v>3150</v>
      </c>
    </row>
    <row r="184" spans="1:9" s="18" customFormat="1" ht="11.1" hidden="1" customHeight="1" outlineLevel="2" x14ac:dyDescent="0.2">
      <c r="A184" s="108" t="s">
        <v>303</v>
      </c>
      <c r="B184" s="108"/>
      <c r="C184" s="108"/>
      <c r="D184" s="108"/>
      <c r="E184" s="28" t="s">
        <v>147</v>
      </c>
      <c r="F184" s="29">
        <v>10</v>
      </c>
      <c r="G184" s="30">
        <v>38500</v>
      </c>
      <c r="H184" s="32">
        <v>7700</v>
      </c>
      <c r="I184" s="30">
        <v>46200</v>
      </c>
    </row>
    <row r="185" spans="1:9" s="18" customFormat="1" ht="11.1" hidden="1" customHeight="1" outlineLevel="2" x14ac:dyDescent="0.2">
      <c r="A185" s="108" t="s">
        <v>304</v>
      </c>
      <c r="B185" s="108"/>
      <c r="C185" s="108"/>
      <c r="D185" s="108"/>
      <c r="E185" s="28" t="s">
        <v>147</v>
      </c>
      <c r="F185" s="29">
        <v>1</v>
      </c>
      <c r="G185" s="30">
        <v>2041.67</v>
      </c>
      <c r="H185" s="31">
        <v>408.33</v>
      </c>
      <c r="I185" s="30">
        <v>2450</v>
      </c>
    </row>
    <row r="186" spans="1:9" s="18" customFormat="1" ht="11.1" hidden="1" customHeight="1" outlineLevel="2" x14ac:dyDescent="0.2">
      <c r="A186" s="108" t="s">
        <v>305</v>
      </c>
      <c r="B186" s="108"/>
      <c r="C186" s="108"/>
      <c r="D186" s="108"/>
      <c r="E186" s="28" t="s">
        <v>147</v>
      </c>
      <c r="F186" s="29">
        <v>10</v>
      </c>
      <c r="G186" s="30">
        <v>2333.33</v>
      </c>
      <c r="H186" s="31">
        <v>466.67</v>
      </c>
      <c r="I186" s="30">
        <v>2800</v>
      </c>
    </row>
    <row r="187" spans="1:9" s="18" customFormat="1" ht="11.1" hidden="1" customHeight="1" outlineLevel="2" x14ac:dyDescent="0.2">
      <c r="A187" s="108" t="s">
        <v>306</v>
      </c>
      <c r="B187" s="108"/>
      <c r="C187" s="108"/>
      <c r="D187" s="108"/>
      <c r="E187" s="28" t="s">
        <v>147</v>
      </c>
      <c r="F187" s="29">
        <v>30</v>
      </c>
      <c r="G187" s="30">
        <v>22750</v>
      </c>
      <c r="H187" s="32">
        <v>4550</v>
      </c>
      <c r="I187" s="30">
        <v>27300</v>
      </c>
    </row>
    <row r="188" spans="1:9" s="18" customFormat="1" ht="11.1" hidden="1" customHeight="1" outlineLevel="2" x14ac:dyDescent="0.2">
      <c r="A188" s="108" t="s">
        <v>230</v>
      </c>
      <c r="B188" s="108"/>
      <c r="C188" s="108"/>
      <c r="D188" s="108"/>
      <c r="E188" s="28" t="s">
        <v>147</v>
      </c>
      <c r="F188" s="29">
        <v>9</v>
      </c>
      <c r="G188" s="30">
        <v>30450</v>
      </c>
      <c r="H188" s="32">
        <v>6090</v>
      </c>
      <c r="I188" s="30">
        <v>36540</v>
      </c>
    </row>
    <row r="189" spans="1:9" s="18" customFormat="1" ht="11.1" hidden="1" customHeight="1" outlineLevel="2" x14ac:dyDescent="0.2">
      <c r="A189" s="108" t="s">
        <v>307</v>
      </c>
      <c r="B189" s="108"/>
      <c r="C189" s="108"/>
      <c r="D189" s="108"/>
      <c r="E189" s="28" t="s">
        <v>147</v>
      </c>
      <c r="F189" s="29">
        <v>10</v>
      </c>
      <c r="G189" s="30">
        <v>7041.67</v>
      </c>
      <c r="H189" s="32">
        <v>1408.33</v>
      </c>
      <c r="I189" s="30">
        <v>8450</v>
      </c>
    </row>
    <row r="190" spans="1:9" s="18" customFormat="1" ht="11.1" hidden="1" customHeight="1" outlineLevel="2" x14ac:dyDescent="0.2">
      <c r="A190" s="108" t="s">
        <v>308</v>
      </c>
      <c r="B190" s="108"/>
      <c r="C190" s="108"/>
      <c r="D190" s="108"/>
      <c r="E190" s="28" t="s">
        <v>147</v>
      </c>
      <c r="F190" s="29">
        <v>5</v>
      </c>
      <c r="G190" s="30">
        <v>4666.67</v>
      </c>
      <c r="H190" s="31">
        <v>933.33</v>
      </c>
      <c r="I190" s="30">
        <v>5600</v>
      </c>
    </row>
    <row r="191" spans="1:9" s="18" customFormat="1" ht="11.1" hidden="1" customHeight="1" outlineLevel="2" x14ac:dyDescent="0.2">
      <c r="A191" s="108" t="s">
        <v>309</v>
      </c>
      <c r="B191" s="108"/>
      <c r="C191" s="108"/>
      <c r="D191" s="108"/>
      <c r="E191" s="28" t="s">
        <v>147</v>
      </c>
      <c r="F191" s="29">
        <v>8</v>
      </c>
      <c r="G191" s="30">
        <v>14000</v>
      </c>
      <c r="H191" s="32">
        <v>2800</v>
      </c>
      <c r="I191" s="30">
        <v>16800</v>
      </c>
    </row>
    <row r="192" spans="1:9" s="18" customFormat="1" ht="11.1" hidden="1" customHeight="1" outlineLevel="2" x14ac:dyDescent="0.2">
      <c r="A192" s="108" t="s">
        <v>309</v>
      </c>
      <c r="B192" s="108"/>
      <c r="C192" s="108"/>
      <c r="D192" s="108"/>
      <c r="E192" s="28" t="s">
        <v>147</v>
      </c>
      <c r="F192" s="29">
        <v>4</v>
      </c>
      <c r="G192" s="30">
        <v>7000</v>
      </c>
      <c r="H192" s="32">
        <v>1400</v>
      </c>
      <c r="I192" s="30">
        <v>8400</v>
      </c>
    </row>
    <row r="193" spans="1:9" s="18" customFormat="1" ht="11.1" hidden="1" customHeight="1" outlineLevel="2" x14ac:dyDescent="0.2">
      <c r="A193" s="108" t="s">
        <v>310</v>
      </c>
      <c r="B193" s="108"/>
      <c r="C193" s="108"/>
      <c r="D193" s="108"/>
      <c r="E193" s="28" t="s">
        <v>147</v>
      </c>
      <c r="F193" s="29">
        <v>4</v>
      </c>
      <c r="G193" s="30">
        <v>7116.66</v>
      </c>
      <c r="H193" s="32">
        <v>1423.34</v>
      </c>
      <c r="I193" s="30">
        <v>8540</v>
      </c>
    </row>
    <row r="194" spans="1:9" s="18" customFormat="1" ht="11.1" hidden="1" customHeight="1" outlineLevel="2" x14ac:dyDescent="0.2">
      <c r="A194" s="108" t="s">
        <v>310</v>
      </c>
      <c r="B194" s="108"/>
      <c r="C194" s="108"/>
      <c r="D194" s="108"/>
      <c r="E194" s="28" t="s">
        <v>147</v>
      </c>
      <c r="F194" s="29">
        <v>4</v>
      </c>
      <c r="G194" s="30">
        <v>7116.67</v>
      </c>
      <c r="H194" s="32">
        <v>1423.33</v>
      </c>
      <c r="I194" s="30">
        <v>8540</v>
      </c>
    </row>
    <row r="195" spans="1:9" s="18" customFormat="1" ht="11.1" hidden="1" customHeight="1" outlineLevel="2" x14ac:dyDescent="0.2">
      <c r="A195" s="108" t="s">
        <v>311</v>
      </c>
      <c r="B195" s="108"/>
      <c r="C195" s="108"/>
      <c r="D195" s="108"/>
      <c r="E195" s="28" t="s">
        <v>147</v>
      </c>
      <c r="F195" s="29">
        <v>1</v>
      </c>
      <c r="G195" s="30">
        <v>16041.67</v>
      </c>
      <c r="H195" s="32">
        <v>3208.33</v>
      </c>
      <c r="I195" s="30">
        <v>19250</v>
      </c>
    </row>
    <row r="196" spans="1:9" s="18" customFormat="1" ht="11.1" hidden="1" customHeight="1" outlineLevel="2" x14ac:dyDescent="0.2">
      <c r="A196" s="108" t="s">
        <v>312</v>
      </c>
      <c r="B196" s="108"/>
      <c r="C196" s="108"/>
      <c r="D196" s="108"/>
      <c r="E196" s="28" t="s">
        <v>147</v>
      </c>
      <c r="F196" s="29">
        <v>10</v>
      </c>
      <c r="G196" s="30">
        <v>11083.33</v>
      </c>
      <c r="H196" s="32">
        <v>2216.67</v>
      </c>
      <c r="I196" s="30">
        <v>13300</v>
      </c>
    </row>
    <row r="197" spans="1:9" s="18" customFormat="1" ht="11.1" hidden="1" customHeight="1" outlineLevel="2" x14ac:dyDescent="0.2">
      <c r="A197" s="108" t="s">
        <v>313</v>
      </c>
      <c r="B197" s="108"/>
      <c r="C197" s="108"/>
      <c r="D197" s="108"/>
      <c r="E197" s="28" t="s">
        <v>147</v>
      </c>
      <c r="F197" s="29">
        <v>1</v>
      </c>
      <c r="G197" s="30">
        <v>15808.33</v>
      </c>
      <c r="H197" s="32">
        <v>3161.67</v>
      </c>
      <c r="I197" s="30">
        <v>18970</v>
      </c>
    </row>
    <row r="198" spans="1:9" s="18" customFormat="1" ht="11.1" hidden="1" customHeight="1" outlineLevel="2" x14ac:dyDescent="0.2">
      <c r="A198" s="108" t="s">
        <v>224</v>
      </c>
      <c r="B198" s="108"/>
      <c r="C198" s="108"/>
      <c r="D198" s="108"/>
      <c r="E198" s="28" t="s">
        <v>147</v>
      </c>
      <c r="F198" s="29">
        <v>30</v>
      </c>
      <c r="G198" s="30">
        <v>46312.5</v>
      </c>
      <c r="H198" s="32">
        <v>9262.5</v>
      </c>
      <c r="I198" s="30">
        <v>55575</v>
      </c>
    </row>
    <row r="199" spans="1:9" s="18" customFormat="1" ht="11.1" hidden="1" customHeight="1" outlineLevel="2" x14ac:dyDescent="0.2">
      <c r="A199" s="108" t="s">
        <v>314</v>
      </c>
      <c r="B199" s="108"/>
      <c r="C199" s="108"/>
      <c r="D199" s="108"/>
      <c r="E199" s="28" t="s">
        <v>147</v>
      </c>
      <c r="F199" s="29">
        <v>1</v>
      </c>
      <c r="G199" s="30">
        <v>59258.34</v>
      </c>
      <c r="H199" s="32">
        <v>11851.66</v>
      </c>
      <c r="I199" s="30">
        <v>71110</v>
      </c>
    </row>
    <row r="200" spans="1:9" s="18" customFormat="1" ht="11.1" hidden="1" customHeight="1" outlineLevel="2" x14ac:dyDescent="0.2">
      <c r="A200" s="108" t="s">
        <v>314</v>
      </c>
      <c r="B200" s="108"/>
      <c r="C200" s="108"/>
      <c r="D200" s="108"/>
      <c r="E200" s="28" t="s">
        <v>147</v>
      </c>
      <c r="F200" s="29">
        <v>1</v>
      </c>
      <c r="G200" s="30">
        <v>59258.33</v>
      </c>
      <c r="H200" s="32">
        <v>11851.67</v>
      </c>
      <c r="I200" s="30">
        <v>71110</v>
      </c>
    </row>
    <row r="201" spans="1:9" s="18" customFormat="1" ht="11.1" hidden="1" customHeight="1" outlineLevel="2" x14ac:dyDescent="0.2">
      <c r="A201" s="108" t="s">
        <v>261</v>
      </c>
      <c r="B201" s="108"/>
      <c r="C201" s="108"/>
      <c r="D201" s="108"/>
      <c r="E201" s="28" t="s">
        <v>147</v>
      </c>
      <c r="F201" s="29">
        <v>2</v>
      </c>
      <c r="G201" s="30">
        <v>2216.67</v>
      </c>
      <c r="H201" s="31">
        <v>443.33</v>
      </c>
      <c r="I201" s="30">
        <v>2660</v>
      </c>
    </row>
    <row r="202" spans="1:9" s="18" customFormat="1" ht="11.1" hidden="1" customHeight="1" outlineLevel="2" x14ac:dyDescent="0.2">
      <c r="A202" s="108" t="s">
        <v>315</v>
      </c>
      <c r="B202" s="108"/>
      <c r="C202" s="108"/>
      <c r="D202" s="108"/>
      <c r="E202" s="28" t="s">
        <v>147</v>
      </c>
      <c r="F202" s="29">
        <v>12</v>
      </c>
      <c r="G202" s="30">
        <v>10725</v>
      </c>
      <c r="H202" s="32">
        <v>2145</v>
      </c>
      <c r="I202" s="30">
        <v>12870</v>
      </c>
    </row>
    <row r="203" spans="1:9" s="18" customFormat="1" ht="11.1" hidden="1" customHeight="1" outlineLevel="2" x14ac:dyDescent="0.2">
      <c r="A203" s="108" t="s">
        <v>316</v>
      </c>
      <c r="B203" s="108"/>
      <c r="C203" s="108"/>
      <c r="D203" s="108"/>
      <c r="E203" s="28" t="s">
        <v>147</v>
      </c>
      <c r="F203" s="29">
        <v>3</v>
      </c>
      <c r="G203" s="30">
        <v>25187.5</v>
      </c>
      <c r="H203" s="32">
        <v>5037.5</v>
      </c>
      <c r="I203" s="30">
        <v>30225</v>
      </c>
    </row>
    <row r="204" spans="1:9" s="18" customFormat="1" ht="11.1" hidden="1" customHeight="1" outlineLevel="2" x14ac:dyDescent="0.2">
      <c r="A204" s="108" t="s">
        <v>240</v>
      </c>
      <c r="B204" s="108"/>
      <c r="C204" s="108"/>
      <c r="D204" s="108"/>
      <c r="E204" s="28" t="s">
        <v>147</v>
      </c>
      <c r="F204" s="29">
        <v>30</v>
      </c>
      <c r="G204" s="30">
        <v>29750</v>
      </c>
      <c r="H204" s="32">
        <v>5950</v>
      </c>
      <c r="I204" s="30">
        <v>35700</v>
      </c>
    </row>
    <row r="205" spans="1:9" s="18" customFormat="1" ht="21.95" hidden="1" customHeight="1" outlineLevel="2" x14ac:dyDescent="0.2">
      <c r="A205" s="108" t="s">
        <v>317</v>
      </c>
      <c r="B205" s="108"/>
      <c r="C205" s="108"/>
      <c r="D205" s="108"/>
      <c r="E205" s="28" t="s">
        <v>147</v>
      </c>
      <c r="F205" s="29">
        <v>5</v>
      </c>
      <c r="G205" s="30">
        <v>19635.419999999998</v>
      </c>
      <c r="H205" s="32">
        <v>3927.08</v>
      </c>
      <c r="I205" s="30">
        <v>23562.5</v>
      </c>
    </row>
    <row r="206" spans="1:9" s="18" customFormat="1" ht="11.1" hidden="1" customHeight="1" outlineLevel="2" x14ac:dyDescent="0.2">
      <c r="A206" s="108" t="s">
        <v>318</v>
      </c>
      <c r="B206" s="108"/>
      <c r="C206" s="108"/>
      <c r="D206" s="108"/>
      <c r="E206" s="28" t="s">
        <v>147</v>
      </c>
      <c r="F206" s="29">
        <v>10</v>
      </c>
      <c r="G206" s="30">
        <v>12541.67</v>
      </c>
      <c r="H206" s="32">
        <v>2508.33</v>
      </c>
      <c r="I206" s="30">
        <v>15050</v>
      </c>
    </row>
    <row r="207" spans="1:9" s="18" customFormat="1" ht="11.1" hidden="1" customHeight="1" outlineLevel="2" x14ac:dyDescent="0.2">
      <c r="A207" s="108" t="s">
        <v>319</v>
      </c>
      <c r="B207" s="108"/>
      <c r="C207" s="108"/>
      <c r="D207" s="108"/>
      <c r="E207" s="28" t="s">
        <v>147</v>
      </c>
      <c r="F207" s="29">
        <v>3</v>
      </c>
      <c r="G207" s="30">
        <v>3412.5</v>
      </c>
      <c r="H207" s="31">
        <v>682.5</v>
      </c>
      <c r="I207" s="30">
        <v>4095</v>
      </c>
    </row>
    <row r="208" spans="1:9" s="18" customFormat="1" ht="11.1" hidden="1" customHeight="1" outlineLevel="2" x14ac:dyDescent="0.2">
      <c r="A208" s="108" t="s">
        <v>320</v>
      </c>
      <c r="B208" s="108"/>
      <c r="C208" s="108"/>
      <c r="D208" s="108"/>
      <c r="E208" s="28" t="s">
        <v>147</v>
      </c>
      <c r="F208" s="29">
        <v>4</v>
      </c>
      <c r="G208" s="30">
        <v>4333.33</v>
      </c>
      <c r="H208" s="31">
        <v>866.67</v>
      </c>
      <c r="I208" s="30">
        <v>5200</v>
      </c>
    </row>
    <row r="209" spans="1:9" s="18" customFormat="1" ht="11.1" hidden="1" customHeight="1" outlineLevel="2" x14ac:dyDescent="0.2">
      <c r="A209" s="108" t="s">
        <v>321</v>
      </c>
      <c r="B209" s="108"/>
      <c r="C209" s="108"/>
      <c r="D209" s="108"/>
      <c r="E209" s="28" t="s">
        <v>147</v>
      </c>
      <c r="F209" s="29">
        <v>1</v>
      </c>
      <c r="G209" s="30">
        <v>5958.33</v>
      </c>
      <c r="H209" s="32">
        <v>1191.67</v>
      </c>
      <c r="I209" s="30">
        <v>7150</v>
      </c>
    </row>
    <row r="210" spans="1:9" s="18" customFormat="1" ht="11.1" hidden="1" customHeight="1" outlineLevel="2" x14ac:dyDescent="0.2">
      <c r="A210" s="108" t="s">
        <v>322</v>
      </c>
      <c r="B210" s="108"/>
      <c r="C210" s="108"/>
      <c r="D210" s="108"/>
      <c r="E210" s="28" t="s">
        <v>147</v>
      </c>
      <c r="F210" s="29">
        <v>7</v>
      </c>
      <c r="G210" s="30">
        <v>138425</v>
      </c>
      <c r="H210" s="32">
        <v>27685</v>
      </c>
      <c r="I210" s="30">
        <v>166110</v>
      </c>
    </row>
    <row r="211" spans="1:9" s="18" customFormat="1" ht="11.1" hidden="1" customHeight="1" outlineLevel="2" x14ac:dyDescent="0.2">
      <c r="A211" s="108" t="s">
        <v>323</v>
      </c>
      <c r="B211" s="108"/>
      <c r="C211" s="108"/>
      <c r="D211" s="108"/>
      <c r="E211" s="28" t="s">
        <v>147</v>
      </c>
      <c r="F211" s="29">
        <v>8</v>
      </c>
      <c r="G211" s="30">
        <v>40366.67</v>
      </c>
      <c r="H211" s="32">
        <v>8073.33</v>
      </c>
      <c r="I211" s="30">
        <v>48440</v>
      </c>
    </row>
    <row r="212" spans="1:9" s="18" customFormat="1" ht="11.1" hidden="1" customHeight="1" outlineLevel="2" x14ac:dyDescent="0.2">
      <c r="A212" s="108" t="s">
        <v>258</v>
      </c>
      <c r="B212" s="108"/>
      <c r="C212" s="108"/>
      <c r="D212" s="108"/>
      <c r="E212" s="28" t="s">
        <v>147</v>
      </c>
      <c r="F212" s="29">
        <v>8</v>
      </c>
      <c r="G212" s="30">
        <v>17733.330000000002</v>
      </c>
      <c r="H212" s="32">
        <v>3546.67</v>
      </c>
      <c r="I212" s="30">
        <v>21280</v>
      </c>
    </row>
    <row r="213" spans="1:9" s="18" customFormat="1" ht="11.1" hidden="1" customHeight="1" outlineLevel="2" x14ac:dyDescent="0.2">
      <c r="A213" s="108" t="s">
        <v>321</v>
      </c>
      <c r="B213" s="108"/>
      <c r="C213" s="108"/>
      <c r="D213" s="108"/>
      <c r="E213" s="28" t="s">
        <v>147</v>
      </c>
      <c r="F213" s="29">
        <v>1</v>
      </c>
      <c r="G213" s="30">
        <v>5958.33</v>
      </c>
      <c r="H213" s="32">
        <v>1191.67</v>
      </c>
      <c r="I213" s="30">
        <v>7150</v>
      </c>
    </row>
    <row r="214" spans="1:9" s="18" customFormat="1" ht="11.1" hidden="1" customHeight="1" outlineLevel="2" x14ac:dyDescent="0.2">
      <c r="A214" s="108" t="s">
        <v>324</v>
      </c>
      <c r="B214" s="108"/>
      <c r="C214" s="108"/>
      <c r="D214" s="108"/>
      <c r="E214" s="28" t="s">
        <v>147</v>
      </c>
      <c r="F214" s="29">
        <v>18</v>
      </c>
      <c r="G214" s="30">
        <v>120750</v>
      </c>
      <c r="H214" s="32">
        <v>24150</v>
      </c>
      <c r="I214" s="30">
        <v>144900</v>
      </c>
    </row>
    <row r="215" spans="1:9" s="18" customFormat="1" ht="11.1" hidden="1" customHeight="1" outlineLevel="2" x14ac:dyDescent="0.2">
      <c r="A215" s="108" t="s">
        <v>325</v>
      </c>
      <c r="B215" s="108"/>
      <c r="C215" s="108"/>
      <c r="D215" s="108"/>
      <c r="E215" s="28" t="s">
        <v>147</v>
      </c>
      <c r="F215" s="29">
        <v>13</v>
      </c>
      <c r="G215" s="30">
        <v>90485.42</v>
      </c>
      <c r="H215" s="32">
        <v>18097.080000000002</v>
      </c>
      <c r="I215" s="30">
        <v>108582.5</v>
      </c>
    </row>
    <row r="216" spans="1:9" s="18" customFormat="1" ht="11.1" hidden="1" customHeight="1" outlineLevel="2" x14ac:dyDescent="0.2">
      <c r="A216" s="108" t="s">
        <v>326</v>
      </c>
      <c r="B216" s="108"/>
      <c r="C216" s="108"/>
      <c r="D216" s="108"/>
      <c r="E216" s="28" t="s">
        <v>147</v>
      </c>
      <c r="F216" s="29">
        <v>5</v>
      </c>
      <c r="G216" s="30">
        <v>6270.83</v>
      </c>
      <c r="H216" s="32">
        <v>1254.17</v>
      </c>
      <c r="I216" s="30">
        <v>7525</v>
      </c>
    </row>
    <row r="217" spans="1:9" s="18" customFormat="1" ht="11.1" hidden="1" customHeight="1" outlineLevel="2" x14ac:dyDescent="0.2">
      <c r="A217" s="108" t="s">
        <v>226</v>
      </c>
      <c r="B217" s="108"/>
      <c r="C217" s="108"/>
      <c r="D217" s="108"/>
      <c r="E217" s="28" t="s">
        <v>147</v>
      </c>
      <c r="F217" s="29">
        <v>5</v>
      </c>
      <c r="G217" s="30">
        <v>9479.17</v>
      </c>
      <c r="H217" s="32">
        <v>1895.83</v>
      </c>
      <c r="I217" s="30">
        <v>11375</v>
      </c>
    </row>
    <row r="218" spans="1:9" s="18" customFormat="1" ht="11.1" hidden="1" customHeight="1" outlineLevel="2" x14ac:dyDescent="0.2">
      <c r="A218" s="108" t="s">
        <v>327</v>
      </c>
      <c r="B218" s="108"/>
      <c r="C218" s="108"/>
      <c r="D218" s="108"/>
      <c r="E218" s="28" t="s">
        <v>147</v>
      </c>
      <c r="F218" s="29">
        <v>5</v>
      </c>
      <c r="G218" s="30">
        <v>2916.67</v>
      </c>
      <c r="H218" s="31">
        <v>583.33000000000004</v>
      </c>
      <c r="I218" s="30">
        <v>3500</v>
      </c>
    </row>
    <row r="219" spans="1:9" s="18" customFormat="1" ht="11.1" hidden="1" customHeight="1" outlineLevel="2" x14ac:dyDescent="0.2">
      <c r="A219" s="108" t="s">
        <v>328</v>
      </c>
      <c r="B219" s="108"/>
      <c r="C219" s="108"/>
      <c r="D219" s="108"/>
      <c r="E219" s="28" t="s">
        <v>147</v>
      </c>
      <c r="F219" s="29">
        <v>5</v>
      </c>
      <c r="G219" s="30">
        <v>23479.17</v>
      </c>
      <c r="H219" s="32">
        <v>4695.83</v>
      </c>
      <c r="I219" s="30">
        <v>28175</v>
      </c>
    </row>
    <row r="220" spans="1:9" s="18" customFormat="1" ht="11.1" hidden="1" customHeight="1" outlineLevel="2" x14ac:dyDescent="0.2">
      <c r="A220" s="108" t="s">
        <v>329</v>
      </c>
      <c r="B220" s="108"/>
      <c r="C220" s="108"/>
      <c r="D220" s="108"/>
      <c r="E220" s="28" t="s">
        <v>147</v>
      </c>
      <c r="F220" s="29">
        <v>15</v>
      </c>
      <c r="G220" s="30">
        <v>43750</v>
      </c>
      <c r="H220" s="32">
        <v>8750</v>
      </c>
      <c r="I220" s="30">
        <v>52500</v>
      </c>
    </row>
    <row r="221" spans="1:9" s="18" customFormat="1" ht="11.1" hidden="1" customHeight="1" outlineLevel="2" x14ac:dyDescent="0.2">
      <c r="A221" s="108" t="s">
        <v>262</v>
      </c>
      <c r="B221" s="108"/>
      <c r="C221" s="108"/>
      <c r="D221" s="108"/>
      <c r="E221" s="28" t="s">
        <v>147</v>
      </c>
      <c r="F221" s="29">
        <v>3</v>
      </c>
      <c r="G221" s="30">
        <v>14462.5</v>
      </c>
      <c r="H221" s="32">
        <v>2892.5</v>
      </c>
      <c r="I221" s="30">
        <v>17355</v>
      </c>
    </row>
    <row r="222" spans="1:9" s="18" customFormat="1" ht="11.1" hidden="1" customHeight="1" outlineLevel="2" x14ac:dyDescent="0.2">
      <c r="A222" s="108" t="s">
        <v>330</v>
      </c>
      <c r="B222" s="108"/>
      <c r="C222" s="108"/>
      <c r="D222" s="108"/>
      <c r="E222" s="28" t="s">
        <v>147</v>
      </c>
      <c r="F222" s="29">
        <v>30</v>
      </c>
      <c r="G222" s="30">
        <v>46312.5</v>
      </c>
      <c r="H222" s="32">
        <v>9262.5</v>
      </c>
      <c r="I222" s="30">
        <v>55575</v>
      </c>
    </row>
    <row r="223" spans="1:9" s="18" customFormat="1" ht="11.1" hidden="1" customHeight="1" outlineLevel="2" x14ac:dyDescent="0.2">
      <c r="A223" s="108" t="s">
        <v>266</v>
      </c>
      <c r="B223" s="108"/>
      <c r="C223" s="108"/>
      <c r="D223" s="108"/>
      <c r="E223" s="28" t="s">
        <v>147</v>
      </c>
      <c r="F223" s="29">
        <v>6</v>
      </c>
      <c r="G223" s="30">
        <v>16412.5</v>
      </c>
      <c r="H223" s="32">
        <v>3282.5</v>
      </c>
      <c r="I223" s="30">
        <v>19695</v>
      </c>
    </row>
    <row r="224" spans="1:9" s="18" customFormat="1" ht="11.1" hidden="1" customHeight="1" outlineLevel="2" x14ac:dyDescent="0.2">
      <c r="A224" s="108" t="s">
        <v>331</v>
      </c>
      <c r="B224" s="108"/>
      <c r="C224" s="108"/>
      <c r="D224" s="108"/>
      <c r="E224" s="28" t="s">
        <v>147</v>
      </c>
      <c r="F224" s="29">
        <v>2</v>
      </c>
      <c r="G224" s="30">
        <v>4550</v>
      </c>
      <c r="H224" s="31">
        <v>910</v>
      </c>
      <c r="I224" s="30">
        <v>5460</v>
      </c>
    </row>
    <row r="225" spans="1:9" s="18" customFormat="1" ht="11.1" hidden="1" customHeight="1" outlineLevel="2" x14ac:dyDescent="0.2">
      <c r="A225" s="108" t="s">
        <v>260</v>
      </c>
      <c r="B225" s="108"/>
      <c r="C225" s="108"/>
      <c r="D225" s="108"/>
      <c r="E225" s="28" t="s">
        <v>147</v>
      </c>
      <c r="F225" s="29">
        <v>15</v>
      </c>
      <c r="G225" s="30">
        <v>40687.5</v>
      </c>
      <c r="H225" s="32">
        <v>8137.5</v>
      </c>
      <c r="I225" s="30">
        <v>48825</v>
      </c>
    </row>
    <row r="226" spans="1:9" s="18" customFormat="1" ht="11.1" hidden="1" customHeight="1" outlineLevel="2" x14ac:dyDescent="0.2">
      <c r="A226" s="108" t="s">
        <v>249</v>
      </c>
      <c r="B226" s="108"/>
      <c r="C226" s="108"/>
      <c r="D226" s="108"/>
      <c r="E226" s="28" t="s">
        <v>147</v>
      </c>
      <c r="F226" s="29">
        <v>20</v>
      </c>
      <c r="G226" s="30">
        <v>26975</v>
      </c>
      <c r="H226" s="32">
        <v>5395</v>
      </c>
      <c r="I226" s="30">
        <v>32370</v>
      </c>
    </row>
    <row r="227" spans="1:9" s="18" customFormat="1" ht="11.1" hidden="1" customHeight="1" outlineLevel="2" x14ac:dyDescent="0.2">
      <c r="A227" s="108" t="s">
        <v>332</v>
      </c>
      <c r="B227" s="108"/>
      <c r="C227" s="108"/>
      <c r="D227" s="108"/>
      <c r="E227" s="28" t="s">
        <v>147</v>
      </c>
      <c r="F227" s="29">
        <v>3</v>
      </c>
      <c r="G227" s="30">
        <v>5850</v>
      </c>
      <c r="H227" s="32">
        <v>1170</v>
      </c>
      <c r="I227" s="30">
        <v>7020</v>
      </c>
    </row>
    <row r="228" spans="1:9" s="18" customFormat="1" ht="11.1" hidden="1" customHeight="1" outlineLevel="2" x14ac:dyDescent="0.2">
      <c r="A228" s="108" t="s">
        <v>333</v>
      </c>
      <c r="B228" s="108"/>
      <c r="C228" s="108"/>
      <c r="D228" s="108"/>
      <c r="E228" s="28" t="s">
        <v>147</v>
      </c>
      <c r="F228" s="29">
        <v>45</v>
      </c>
      <c r="G228" s="30">
        <v>102375</v>
      </c>
      <c r="H228" s="32">
        <v>20475</v>
      </c>
      <c r="I228" s="30">
        <v>122850</v>
      </c>
    </row>
    <row r="229" spans="1:9" s="18" customFormat="1" ht="11.1" hidden="1" customHeight="1" outlineLevel="2" x14ac:dyDescent="0.2">
      <c r="A229" s="108" t="s">
        <v>334</v>
      </c>
      <c r="B229" s="108"/>
      <c r="C229" s="108"/>
      <c r="D229" s="108"/>
      <c r="E229" s="28" t="s">
        <v>147</v>
      </c>
      <c r="F229" s="29">
        <v>40</v>
      </c>
      <c r="G229" s="30">
        <v>42250</v>
      </c>
      <c r="H229" s="32">
        <v>8450</v>
      </c>
      <c r="I229" s="30">
        <v>50700</v>
      </c>
    </row>
    <row r="230" spans="1:9" s="18" customFormat="1" ht="11.1" hidden="1" customHeight="1" outlineLevel="2" x14ac:dyDescent="0.2">
      <c r="A230" s="108" t="s">
        <v>335</v>
      </c>
      <c r="B230" s="108"/>
      <c r="C230" s="108"/>
      <c r="D230" s="108"/>
      <c r="E230" s="28" t="s">
        <v>147</v>
      </c>
      <c r="F230" s="29">
        <v>10</v>
      </c>
      <c r="G230" s="30">
        <v>2975</v>
      </c>
      <c r="H230" s="31">
        <v>595</v>
      </c>
      <c r="I230" s="30">
        <v>3570</v>
      </c>
    </row>
    <row r="231" spans="1:9" s="18" customFormat="1" ht="11.1" hidden="1" customHeight="1" outlineLevel="2" x14ac:dyDescent="0.2">
      <c r="A231" s="108" t="s">
        <v>336</v>
      </c>
      <c r="B231" s="108"/>
      <c r="C231" s="108"/>
      <c r="D231" s="108"/>
      <c r="E231" s="28" t="s">
        <v>147</v>
      </c>
      <c r="F231" s="29">
        <v>4</v>
      </c>
      <c r="G231" s="30">
        <v>12250</v>
      </c>
      <c r="H231" s="32">
        <v>2450</v>
      </c>
      <c r="I231" s="30">
        <v>14700</v>
      </c>
    </row>
    <row r="232" spans="1:9" s="18" customFormat="1" ht="11.1" hidden="1" customHeight="1" outlineLevel="2" x14ac:dyDescent="0.2">
      <c r="A232" s="108" t="s">
        <v>227</v>
      </c>
      <c r="B232" s="108"/>
      <c r="C232" s="108"/>
      <c r="D232" s="108"/>
      <c r="E232" s="28" t="s">
        <v>147</v>
      </c>
      <c r="F232" s="29">
        <v>15</v>
      </c>
      <c r="G232" s="30">
        <v>3587.5</v>
      </c>
      <c r="H232" s="31">
        <v>717.5</v>
      </c>
      <c r="I232" s="30">
        <v>4305</v>
      </c>
    </row>
    <row r="233" spans="1:9" s="18" customFormat="1" ht="11.1" hidden="1" customHeight="1" outlineLevel="2" x14ac:dyDescent="0.2">
      <c r="A233" s="108" t="s">
        <v>238</v>
      </c>
      <c r="B233" s="108"/>
      <c r="C233" s="108"/>
      <c r="D233" s="108"/>
      <c r="E233" s="28" t="s">
        <v>147</v>
      </c>
      <c r="F233" s="29">
        <v>10</v>
      </c>
      <c r="G233" s="30">
        <v>31145.83</v>
      </c>
      <c r="H233" s="32">
        <v>6229.17</v>
      </c>
      <c r="I233" s="30">
        <v>37375</v>
      </c>
    </row>
    <row r="234" spans="1:9" s="18" customFormat="1" ht="11.1" hidden="1" customHeight="1" outlineLevel="2" x14ac:dyDescent="0.2">
      <c r="A234" s="108" t="s">
        <v>337</v>
      </c>
      <c r="B234" s="108"/>
      <c r="C234" s="108"/>
      <c r="D234" s="108"/>
      <c r="E234" s="28" t="s">
        <v>147</v>
      </c>
      <c r="F234" s="29">
        <v>1</v>
      </c>
      <c r="G234" s="30">
        <v>3062.5</v>
      </c>
      <c r="H234" s="31">
        <v>612.5</v>
      </c>
      <c r="I234" s="30">
        <v>3675</v>
      </c>
    </row>
    <row r="235" spans="1:9" s="18" customFormat="1" ht="11.1" hidden="1" customHeight="1" outlineLevel="2" x14ac:dyDescent="0.2">
      <c r="A235" s="108" t="s">
        <v>250</v>
      </c>
      <c r="B235" s="108"/>
      <c r="C235" s="108"/>
      <c r="D235" s="108"/>
      <c r="E235" s="28" t="s">
        <v>147</v>
      </c>
      <c r="F235" s="29">
        <v>90</v>
      </c>
      <c r="G235" s="30">
        <v>23625</v>
      </c>
      <c r="H235" s="32">
        <v>4725</v>
      </c>
      <c r="I235" s="30">
        <v>28350</v>
      </c>
    </row>
    <row r="236" spans="1:9" s="18" customFormat="1" ht="11.1" hidden="1" customHeight="1" outlineLevel="2" collapsed="1" x14ac:dyDescent="0.2">
      <c r="A236" s="108" t="s">
        <v>234</v>
      </c>
      <c r="B236" s="108"/>
      <c r="C236" s="108"/>
      <c r="D236" s="108"/>
      <c r="E236" s="28" t="s">
        <v>147</v>
      </c>
      <c r="F236" s="29">
        <v>5</v>
      </c>
      <c r="G236" s="30">
        <v>1779.17</v>
      </c>
      <c r="H236" s="31">
        <v>355.83</v>
      </c>
      <c r="I236" s="30">
        <v>2135</v>
      </c>
    </row>
    <row r="237" spans="1:9" s="18" customFormat="1" ht="11.1" hidden="1" customHeight="1" outlineLevel="1" collapsed="1" x14ac:dyDescent="0.2">
      <c r="A237" s="107" t="s">
        <v>338</v>
      </c>
      <c r="B237" s="107"/>
      <c r="C237" s="107"/>
      <c r="D237" s="107"/>
      <c r="E237" s="107"/>
      <c r="F237" s="25">
        <v>10</v>
      </c>
      <c r="G237" s="34">
        <v>88775</v>
      </c>
      <c r="H237" s="35">
        <v>17755</v>
      </c>
      <c r="I237" s="34">
        <v>106530</v>
      </c>
    </row>
    <row r="238" spans="1:9" s="18" customFormat="1" ht="11.1" hidden="1" customHeight="1" outlineLevel="2" x14ac:dyDescent="0.2">
      <c r="A238" s="108" t="s">
        <v>339</v>
      </c>
      <c r="B238" s="108"/>
      <c r="C238" s="108"/>
      <c r="D238" s="108"/>
      <c r="E238" s="28" t="s">
        <v>147</v>
      </c>
      <c r="F238" s="29">
        <v>3</v>
      </c>
      <c r="G238" s="30">
        <v>20962.5</v>
      </c>
      <c r="H238" s="32">
        <v>4192.5</v>
      </c>
      <c r="I238" s="30">
        <v>25155</v>
      </c>
    </row>
    <row r="239" spans="1:9" s="18" customFormat="1" ht="11.1" hidden="1" customHeight="1" outlineLevel="2" x14ac:dyDescent="0.2">
      <c r="A239" s="108" t="s">
        <v>340</v>
      </c>
      <c r="B239" s="108"/>
      <c r="C239" s="108"/>
      <c r="D239" s="108"/>
      <c r="E239" s="28" t="s">
        <v>147</v>
      </c>
      <c r="F239" s="29">
        <v>2</v>
      </c>
      <c r="G239" s="30">
        <v>57750</v>
      </c>
      <c r="H239" s="32">
        <v>11550</v>
      </c>
      <c r="I239" s="30">
        <v>69300</v>
      </c>
    </row>
    <row r="240" spans="1:9" s="18" customFormat="1" ht="11.1" hidden="1" customHeight="1" outlineLevel="2" collapsed="1" x14ac:dyDescent="0.2">
      <c r="A240" s="108" t="s">
        <v>341</v>
      </c>
      <c r="B240" s="108"/>
      <c r="C240" s="108"/>
      <c r="D240" s="108"/>
      <c r="E240" s="28" t="s">
        <v>147</v>
      </c>
      <c r="F240" s="29">
        <v>5</v>
      </c>
      <c r="G240" s="30">
        <v>10062.5</v>
      </c>
      <c r="H240" s="32">
        <v>2012.5</v>
      </c>
      <c r="I240" s="30">
        <v>12075</v>
      </c>
    </row>
    <row r="241" spans="1:9" s="18" customFormat="1" ht="11.1" hidden="1" customHeight="1" outlineLevel="1" collapsed="1" x14ac:dyDescent="0.2">
      <c r="A241" s="107" t="s">
        <v>342</v>
      </c>
      <c r="B241" s="107"/>
      <c r="C241" s="107"/>
      <c r="D241" s="107"/>
      <c r="E241" s="107"/>
      <c r="F241" s="25">
        <v>6</v>
      </c>
      <c r="G241" s="34">
        <v>2450</v>
      </c>
      <c r="H241" s="46">
        <v>490</v>
      </c>
      <c r="I241" s="34">
        <v>2940</v>
      </c>
    </row>
    <row r="242" spans="1:9" s="18" customFormat="1" ht="11.1" hidden="1" customHeight="1" outlineLevel="2" x14ac:dyDescent="0.2">
      <c r="A242" s="108" t="s">
        <v>286</v>
      </c>
      <c r="B242" s="108"/>
      <c r="C242" s="108"/>
      <c r="D242" s="108"/>
      <c r="E242" s="28" t="s">
        <v>147</v>
      </c>
      <c r="F242" s="29">
        <v>3</v>
      </c>
      <c r="G242" s="30">
        <v>2100</v>
      </c>
      <c r="H242" s="31">
        <v>420</v>
      </c>
      <c r="I242" s="30">
        <v>2520</v>
      </c>
    </row>
    <row r="243" spans="1:9" s="18" customFormat="1" ht="11.1" hidden="1" customHeight="1" outlineLevel="2" collapsed="1" x14ac:dyDescent="0.2">
      <c r="A243" s="108" t="s">
        <v>343</v>
      </c>
      <c r="B243" s="108"/>
      <c r="C243" s="108"/>
      <c r="D243" s="108"/>
      <c r="E243" s="28" t="s">
        <v>147</v>
      </c>
      <c r="F243" s="29">
        <v>3</v>
      </c>
      <c r="G243" s="44">
        <v>350</v>
      </c>
      <c r="H243" s="31">
        <v>70</v>
      </c>
      <c r="I243" s="44">
        <v>420</v>
      </c>
    </row>
    <row r="244" spans="1:9" s="18" customFormat="1" ht="11.1" hidden="1" customHeight="1" outlineLevel="1" collapsed="1" x14ac:dyDescent="0.2">
      <c r="A244" s="107" t="s">
        <v>344</v>
      </c>
      <c r="B244" s="107"/>
      <c r="C244" s="107"/>
      <c r="D244" s="107"/>
      <c r="E244" s="107"/>
      <c r="F244" s="25">
        <v>197</v>
      </c>
      <c r="G244" s="26">
        <v>5335942.32</v>
      </c>
      <c r="H244" s="27">
        <v>1067188.48</v>
      </c>
      <c r="I244" s="39">
        <v>6403130.7999999998</v>
      </c>
    </row>
    <row r="245" spans="1:9" s="18" customFormat="1" ht="11.1" hidden="1" customHeight="1" outlineLevel="2" x14ac:dyDescent="0.2">
      <c r="A245" s="108" t="s">
        <v>345</v>
      </c>
      <c r="B245" s="108"/>
      <c r="C245" s="108"/>
      <c r="D245" s="108"/>
      <c r="E245" s="28" t="s">
        <v>147</v>
      </c>
      <c r="F245" s="29">
        <v>4</v>
      </c>
      <c r="G245" s="30">
        <v>41043.33</v>
      </c>
      <c r="H245" s="32">
        <v>8208.67</v>
      </c>
      <c r="I245" s="30">
        <v>49252</v>
      </c>
    </row>
    <row r="246" spans="1:9" s="18" customFormat="1" ht="11.1" hidden="1" customHeight="1" outlineLevel="2" x14ac:dyDescent="0.2">
      <c r="A246" s="108" t="s">
        <v>255</v>
      </c>
      <c r="B246" s="108"/>
      <c r="C246" s="108"/>
      <c r="D246" s="108"/>
      <c r="E246" s="28" t="s">
        <v>147</v>
      </c>
      <c r="F246" s="29">
        <v>1</v>
      </c>
      <c r="G246" s="30">
        <v>250580</v>
      </c>
      <c r="H246" s="32">
        <v>50116</v>
      </c>
      <c r="I246" s="30">
        <v>300696</v>
      </c>
    </row>
    <row r="247" spans="1:9" s="18" customFormat="1" ht="11.1" hidden="1" customHeight="1" outlineLevel="2" x14ac:dyDescent="0.2">
      <c r="A247" s="108" t="s">
        <v>235</v>
      </c>
      <c r="B247" s="108"/>
      <c r="C247" s="108"/>
      <c r="D247" s="108"/>
      <c r="E247" s="28" t="s">
        <v>147</v>
      </c>
      <c r="F247" s="29">
        <v>1</v>
      </c>
      <c r="G247" s="30">
        <v>79333.33</v>
      </c>
      <c r="H247" s="32">
        <v>15866.67</v>
      </c>
      <c r="I247" s="30">
        <v>95200</v>
      </c>
    </row>
    <row r="248" spans="1:9" s="18" customFormat="1" ht="11.1" hidden="1" customHeight="1" outlineLevel="2" x14ac:dyDescent="0.2">
      <c r="A248" s="108" t="s">
        <v>235</v>
      </c>
      <c r="B248" s="108"/>
      <c r="C248" s="108"/>
      <c r="D248" s="108"/>
      <c r="E248" s="28" t="s">
        <v>147</v>
      </c>
      <c r="F248" s="29">
        <v>2</v>
      </c>
      <c r="G248" s="30">
        <v>158666.67000000001</v>
      </c>
      <c r="H248" s="32">
        <v>31733.33</v>
      </c>
      <c r="I248" s="30">
        <v>190400</v>
      </c>
    </row>
    <row r="249" spans="1:9" s="18" customFormat="1" ht="11.1" hidden="1" customHeight="1" outlineLevel="2" x14ac:dyDescent="0.2">
      <c r="A249" s="108" t="s">
        <v>346</v>
      </c>
      <c r="B249" s="108"/>
      <c r="C249" s="108"/>
      <c r="D249" s="108"/>
      <c r="E249" s="28" t="s">
        <v>147</v>
      </c>
      <c r="F249" s="29">
        <v>1</v>
      </c>
      <c r="G249" s="30">
        <v>164276.66</v>
      </c>
      <c r="H249" s="32">
        <v>32855.339999999997</v>
      </c>
      <c r="I249" s="30">
        <v>197132</v>
      </c>
    </row>
    <row r="250" spans="1:9" s="18" customFormat="1" ht="11.1" hidden="1" customHeight="1" outlineLevel="2" x14ac:dyDescent="0.2">
      <c r="A250" s="108" t="s">
        <v>347</v>
      </c>
      <c r="B250" s="108"/>
      <c r="C250" s="108"/>
      <c r="D250" s="108"/>
      <c r="E250" s="28" t="s">
        <v>147</v>
      </c>
      <c r="F250" s="29">
        <v>14</v>
      </c>
      <c r="G250" s="30">
        <v>240835</v>
      </c>
      <c r="H250" s="32">
        <v>48167</v>
      </c>
      <c r="I250" s="30">
        <v>289002</v>
      </c>
    </row>
    <row r="251" spans="1:9" s="18" customFormat="1" ht="11.1" hidden="1" customHeight="1" outlineLevel="2" x14ac:dyDescent="0.2">
      <c r="A251" s="108" t="s">
        <v>348</v>
      </c>
      <c r="B251" s="108"/>
      <c r="C251" s="108"/>
      <c r="D251" s="108"/>
      <c r="E251" s="28" t="s">
        <v>147</v>
      </c>
      <c r="F251" s="29">
        <v>10</v>
      </c>
      <c r="G251" s="30">
        <v>291608.33</v>
      </c>
      <c r="H251" s="32">
        <v>58321.67</v>
      </c>
      <c r="I251" s="30">
        <v>349930</v>
      </c>
    </row>
    <row r="252" spans="1:9" s="18" customFormat="1" ht="11.1" hidden="1" customHeight="1" outlineLevel="2" x14ac:dyDescent="0.2">
      <c r="A252" s="108" t="s">
        <v>265</v>
      </c>
      <c r="B252" s="108"/>
      <c r="C252" s="108"/>
      <c r="D252" s="108"/>
      <c r="E252" s="28" t="s">
        <v>147</v>
      </c>
      <c r="F252" s="29">
        <v>110</v>
      </c>
      <c r="G252" s="30">
        <v>903100</v>
      </c>
      <c r="H252" s="32">
        <v>180620</v>
      </c>
      <c r="I252" s="30">
        <v>1083720</v>
      </c>
    </row>
    <row r="253" spans="1:9" s="18" customFormat="1" ht="11.1" hidden="1" customHeight="1" outlineLevel="2" x14ac:dyDescent="0.2">
      <c r="A253" s="108" t="s">
        <v>233</v>
      </c>
      <c r="B253" s="108"/>
      <c r="C253" s="108"/>
      <c r="D253" s="108"/>
      <c r="E253" s="28" t="s">
        <v>147</v>
      </c>
      <c r="F253" s="29">
        <v>3</v>
      </c>
      <c r="G253" s="30">
        <v>603500</v>
      </c>
      <c r="H253" s="32">
        <v>120700</v>
      </c>
      <c r="I253" s="30">
        <v>724200</v>
      </c>
    </row>
    <row r="254" spans="1:9" s="18" customFormat="1" ht="11.1" hidden="1" customHeight="1" outlineLevel="2" x14ac:dyDescent="0.2">
      <c r="A254" s="108" t="s">
        <v>346</v>
      </c>
      <c r="B254" s="108"/>
      <c r="C254" s="108"/>
      <c r="D254" s="108"/>
      <c r="E254" s="28" t="s">
        <v>147</v>
      </c>
      <c r="F254" s="29">
        <v>1</v>
      </c>
      <c r="G254" s="30">
        <v>164276.67000000001</v>
      </c>
      <c r="H254" s="32">
        <v>32855.33</v>
      </c>
      <c r="I254" s="30">
        <v>197132</v>
      </c>
    </row>
    <row r="255" spans="1:9" s="18" customFormat="1" ht="11.1" hidden="1" customHeight="1" outlineLevel="2" x14ac:dyDescent="0.2">
      <c r="A255" s="108" t="s">
        <v>349</v>
      </c>
      <c r="B255" s="108"/>
      <c r="C255" s="108"/>
      <c r="D255" s="108"/>
      <c r="E255" s="28" t="s">
        <v>147</v>
      </c>
      <c r="F255" s="29">
        <v>2</v>
      </c>
      <c r="G255" s="30">
        <v>47821.67</v>
      </c>
      <c r="H255" s="32">
        <v>9564.33</v>
      </c>
      <c r="I255" s="30">
        <v>57386</v>
      </c>
    </row>
    <row r="256" spans="1:9" s="18" customFormat="1" ht="11.1" hidden="1" customHeight="1" outlineLevel="2" x14ac:dyDescent="0.2">
      <c r="A256" s="108" t="s">
        <v>350</v>
      </c>
      <c r="B256" s="108"/>
      <c r="C256" s="108"/>
      <c r="D256" s="108"/>
      <c r="E256" s="28" t="s">
        <v>147</v>
      </c>
      <c r="F256" s="29">
        <v>29</v>
      </c>
      <c r="G256" s="30">
        <v>558080.82999999996</v>
      </c>
      <c r="H256" s="32">
        <v>111616.17</v>
      </c>
      <c r="I256" s="30">
        <v>669697</v>
      </c>
    </row>
    <row r="257" spans="1:9" s="18" customFormat="1" ht="11.1" hidden="1" customHeight="1" outlineLevel="2" x14ac:dyDescent="0.2">
      <c r="A257" s="108" t="s">
        <v>351</v>
      </c>
      <c r="B257" s="108"/>
      <c r="C257" s="108"/>
      <c r="D257" s="108"/>
      <c r="E257" s="28" t="s">
        <v>147</v>
      </c>
      <c r="F257" s="29">
        <v>2</v>
      </c>
      <c r="G257" s="30">
        <v>75821.67</v>
      </c>
      <c r="H257" s="32">
        <v>15164.33</v>
      </c>
      <c r="I257" s="30">
        <v>90986</v>
      </c>
    </row>
    <row r="258" spans="1:9" s="18" customFormat="1" ht="11.1" hidden="1" customHeight="1" outlineLevel="2" x14ac:dyDescent="0.2">
      <c r="A258" s="108" t="s">
        <v>352</v>
      </c>
      <c r="B258" s="108"/>
      <c r="C258" s="108"/>
      <c r="D258" s="108"/>
      <c r="E258" s="28" t="s">
        <v>147</v>
      </c>
      <c r="F258" s="29">
        <v>1</v>
      </c>
      <c r="G258" s="30">
        <v>122456.67</v>
      </c>
      <c r="H258" s="32">
        <v>24491.33</v>
      </c>
      <c r="I258" s="30">
        <v>146948</v>
      </c>
    </row>
    <row r="259" spans="1:9" s="18" customFormat="1" ht="11.1" hidden="1" customHeight="1" outlineLevel="2" x14ac:dyDescent="0.2">
      <c r="A259" s="108" t="s">
        <v>353</v>
      </c>
      <c r="B259" s="108"/>
      <c r="C259" s="108"/>
      <c r="D259" s="108"/>
      <c r="E259" s="28" t="s">
        <v>147</v>
      </c>
      <c r="F259" s="29">
        <v>1</v>
      </c>
      <c r="G259" s="30">
        <v>446000</v>
      </c>
      <c r="H259" s="32">
        <v>89200</v>
      </c>
      <c r="I259" s="30">
        <v>535200</v>
      </c>
    </row>
    <row r="260" spans="1:9" s="18" customFormat="1" ht="11.1" hidden="1" customHeight="1" outlineLevel="2" x14ac:dyDescent="0.2">
      <c r="A260" s="108" t="s">
        <v>354</v>
      </c>
      <c r="B260" s="108"/>
      <c r="C260" s="108"/>
      <c r="D260" s="108"/>
      <c r="E260" s="28" t="s">
        <v>147</v>
      </c>
      <c r="F260" s="29">
        <v>2</v>
      </c>
      <c r="G260" s="30">
        <v>152773.32999999999</v>
      </c>
      <c r="H260" s="32">
        <v>30554.67</v>
      </c>
      <c r="I260" s="30">
        <v>183328</v>
      </c>
    </row>
    <row r="261" spans="1:9" s="18" customFormat="1" ht="11.1" hidden="1" customHeight="1" outlineLevel="2" x14ac:dyDescent="0.2">
      <c r="A261" s="108" t="s">
        <v>355</v>
      </c>
      <c r="B261" s="108"/>
      <c r="C261" s="108"/>
      <c r="D261" s="108"/>
      <c r="E261" s="28" t="s">
        <v>147</v>
      </c>
      <c r="F261" s="29">
        <v>2</v>
      </c>
      <c r="G261" s="30">
        <v>583440</v>
      </c>
      <c r="H261" s="32">
        <v>116688</v>
      </c>
      <c r="I261" s="30">
        <v>700128</v>
      </c>
    </row>
    <row r="262" spans="1:9" s="18" customFormat="1" ht="11.1" hidden="1" customHeight="1" outlineLevel="2" x14ac:dyDescent="0.2">
      <c r="A262" s="108" t="s">
        <v>232</v>
      </c>
      <c r="B262" s="108"/>
      <c r="C262" s="108"/>
      <c r="D262" s="108"/>
      <c r="E262" s="28" t="s">
        <v>147</v>
      </c>
      <c r="F262" s="29">
        <v>1</v>
      </c>
      <c r="G262" s="30">
        <v>54394.33</v>
      </c>
      <c r="H262" s="32">
        <v>10878.87</v>
      </c>
      <c r="I262" s="30">
        <v>65273.2</v>
      </c>
    </row>
    <row r="263" spans="1:9" s="18" customFormat="1" ht="11.1" hidden="1" customHeight="1" outlineLevel="2" x14ac:dyDescent="0.2">
      <c r="A263" s="108" t="s">
        <v>232</v>
      </c>
      <c r="B263" s="108"/>
      <c r="C263" s="108"/>
      <c r="D263" s="108"/>
      <c r="E263" s="28" t="s">
        <v>147</v>
      </c>
      <c r="F263" s="29">
        <v>3</v>
      </c>
      <c r="G263" s="30">
        <v>163183</v>
      </c>
      <c r="H263" s="32">
        <v>32636.6</v>
      </c>
      <c r="I263" s="30">
        <v>195819.6</v>
      </c>
    </row>
    <row r="264" spans="1:9" s="18" customFormat="1" ht="11.1" hidden="1" customHeight="1" outlineLevel="2" collapsed="1" x14ac:dyDescent="0.2">
      <c r="A264" s="108" t="s">
        <v>356</v>
      </c>
      <c r="B264" s="108"/>
      <c r="C264" s="108"/>
      <c r="D264" s="108"/>
      <c r="E264" s="28" t="s">
        <v>147</v>
      </c>
      <c r="F264" s="29">
        <v>7</v>
      </c>
      <c r="G264" s="30">
        <v>234750.83</v>
      </c>
      <c r="H264" s="32">
        <v>46950.17</v>
      </c>
      <c r="I264" s="30">
        <v>281701</v>
      </c>
    </row>
    <row r="265" spans="1:9" s="18" customFormat="1" ht="11.1" hidden="1" customHeight="1" outlineLevel="1" collapsed="1" x14ac:dyDescent="0.2">
      <c r="A265" s="107" t="s">
        <v>357</v>
      </c>
      <c r="B265" s="107"/>
      <c r="C265" s="107"/>
      <c r="D265" s="107"/>
      <c r="E265" s="107"/>
      <c r="F265" s="25">
        <v>2</v>
      </c>
      <c r="G265" s="48"/>
      <c r="H265" s="48"/>
      <c r="I265" s="48"/>
    </row>
    <row r="266" spans="1:9" s="18" customFormat="1" ht="11.1" hidden="1" customHeight="1" outlineLevel="2" x14ac:dyDescent="0.2">
      <c r="A266" s="108" t="s">
        <v>358</v>
      </c>
      <c r="B266" s="108"/>
      <c r="C266" s="108"/>
      <c r="D266" s="108"/>
      <c r="E266" s="28" t="s">
        <v>147</v>
      </c>
      <c r="F266" s="29">
        <v>1</v>
      </c>
      <c r="G266" s="49"/>
      <c r="H266" s="49"/>
      <c r="I266" s="49"/>
    </row>
    <row r="267" spans="1:9" s="18" customFormat="1" ht="11.1" hidden="1" customHeight="1" outlineLevel="2" collapsed="1" x14ac:dyDescent="0.2">
      <c r="A267" s="108" t="s">
        <v>359</v>
      </c>
      <c r="B267" s="108"/>
      <c r="C267" s="108"/>
      <c r="D267" s="108"/>
      <c r="E267" s="28"/>
      <c r="F267" s="29">
        <v>1</v>
      </c>
      <c r="G267" s="49"/>
      <c r="H267" s="49"/>
      <c r="I267" s="49"/>
    </row>
    <row r="268" spans="1:9" s="18" customFormat="1" ht="11.1" hidden="1" customHeight="1" outlineLevel="1" collapsed="1" x14ac:dyDescent="0.2">
      <c r="A268" s="107" t="s">
        <v>360</v>
      </c>
      <c r="B268" s="107"/>
      <c r="C268" s="107"/>
      <c r="D268" s="107"/>
      <c r="E268" s="107"/>
      <c r="F268" s="25">
        <v>19</v>
      </c>
      <c r="G268" s="26">
        <v>138759.76999999999</v>
      </c>
      <c r="H268" s="27">
        <v>27751.93</v>
      </c>
      <c r="I268" s="39">
        <v>166511.70000000001</v>
      </c>
    </row>
    <row r="269" spans="1:9" s="18" customFormat="1" ht="11.1" hidden="1" customHeight="1" outlineLevel="2" x14ac:dyDescent="0.2">
      <c r="A269" s="108" t="s">
        <v>361</v>
      </c>
      <c r="B269" s="108"/>
      <c r="C269" s="108"/>
      <c r="D269" s="108"/>
      <c r="E269" s="28" t="s">
        <v>147</v>
      </c>
      <c r="F269" s="29">
        <v>1</v>
      </c>
      <c r="G269" s="30">
        <v>55811</v>
      </c>
      <c r="H269" s="32">
        <v>11162.2</v>
      </c>
      <c r="I269" s="30">
        <v>66973.2</v>
      </c>
    </row>
    <row r="270" spans="1:9" s="18" customFormat="1" ht="11.1" hidden="1" customHeight="1" outlineLevel="2" x14ac:dyDescent="0.2">
      <c r="A270" s="108" t="s">
        <v>362</v>
      </c>
      <c r="B270" s="108"/>
      <c r="C270" s="108"/>
      <c r="D270" s="108"/>
      <c r="E270" s="28" t="s">
        <v>147</v>
      </c>
      <c r="F270" s="29">
        <v>2</v>
      </c>
      <c r="G270" s="30">
        <v>26600</v>
      </c>
      <c r="H270" s="32">
        <v>5320</v>
      </c>
      <c r="I270" s="30">
        <v>31920</v>
      </c>
    </row>
    <row r="271" spans="1:9" s="18" customFormat="1" ht="11.1" hidden="1" customHeight="1" outlineLevel="2" x14ac:dyDescent="0.2">
      <c r="A271" s="108" t="s">
        <v>288</v>
      </c>
      <c r="B271" s="108"/>
      <c r="C271" s="108"/>
      <c r="D271" s="108"/>
      <c r="E271" s="28" t="s">
        <v>147</v>
      </c>
      <c r="F271" s="29">
        <v>3</v>
      </c>
      <c r="G271" s="30">
        <v>13796.25</v>
      </c>
      <c r="H271" s="32">
        <v>2759.25</v>
      </c>
      <c r="I271" s="30">
        <v>16555.5</v>
      </c>
    </row>
    <row r="272" spans="1:9" s="18" customFormat="1" ht="11.1" hidden="1" customHeight="1" outlineLevel="2" x14ac:dyDescent="0.2">
      <c r="A272" s="108" t="s">
        <v>363</v>
      </c>
      <c r="B272" s="108"/>
      <c r="C272" s="108"/>
      <c r="D272" s="108"/>
      <c r="E272" s="28" t="s">
        <v>147</v>
      </c>
      <c r="F272" s="29">
        <v>1</v>
      </c>
      <c r="G272" s="30">
        <v>2479.1799999999998</v>
      </c>
      <c r="H272" s="31">
        <v>495.82</v>
      </c>
      <c r="I272" s="30">
        <v>2975</v>
      </c>
    </row>
    <row r="273" spans="1:9" s="18" customFormat="1" ht="11.1" hidden="1" customHeight="1" outlineLevel="2" x14ac:dyDescent="0.2">
      <c r="A273" s="108" t="s">
        <v>363</v>
      </c>
      <c r="B273" s="108"/>
      <c r="C273" s="108"/>
      <c r="D273" s="108"/>
      <c r="E273" s="28" t="s">
        <v>147</v>
      </c>
      <c r="F273" s="29">
        <v>1</v>
      </c>
      <c r="G273" s="30">
        <v>2479.17</v>
      </c>
      <c r="H273" s="31">
        <v>495.83</v>
      </c>
      <c r="I273" s="30">
        <v>2975</v>
      </c>
    </row>
    <row r="274" spans="1:9" s="18" customFormat="1" ht="11.1" hidden="1" customHeight="1" outlineLevel="2" x14ac:dyDescent="0.2">
      <c r="A274" s="108" t="s">
        <v>363</v>
      </c>
      <c r="B274" s="108"/>
      <c r="C274" s="108"/>
      <c r="D274" s="108"/>
      <c r="E274" s="28" t="s">
        <v>147</v>
      </c>
      <c r="F274" s="29">
        <v>1</v>
      </c>
      <c r="G274" s="30">
        <v>2479.17</v>
      </c>
      <c r="H274" s="31">
        <v>495.83</v>
      </c>
      <c r="I274" s="30">
        <v>2975</v>
      </c>
    </row>
    <row r="275" spans="1:9" s="18" customFormat="1" ht="11.1" hidden="1" customHeight="1" outlineLevel="2" x14ac:dyDescent="0.2">
      <c r="A275" s="108" t="s">
        <v>364</v>
      </c>
      <c r="B275" s="108"/>
      <c r="C275" s="108"/>
      <c r="D275" s="108"/>
      <c r="E275" s="28" t="s">
        <v>147</v>
      </c>
      <c r="F275" s="29">
        <v>1</v>
      </c>
      <c r="G275" s="30">
        <v>3529.17</v>
      </c>
      <c r="H275" s="31">
        <v>705.83</v>
      </c>
      <c r="I275" s="30">
        <v>4235</v>
      </c>
    </row>
    <row r="276" spans="1:9" s="18" customFormat="1" ht="11.1" hidden="1" customHeight="1" outlineLevel="2" x14ac:dyDescent="0.2">
      <c r="A276" s="108" t="s">
        <v>365</v>
      </c>
      <c r="B276" s="108"/>
      <c r="C276" s="108"/>
      <c r="D276" s="108"/>
      <c r="E276" s="28" t="s">
        <v>147</v>
      </c>
      <c r="F276" s="29">
        <v>3</v>
      </c>
      <c r="G276" s="30">
        <v>1137.5</v>
      </c>
      <c r="H276" s="31">
        <v>227.5</v>
      </c>
      <c r="I276" s="30">
        <v>1365</v>
      </c>
    </row>
    <row r="277" spans="1:9" s="18" customFormat="1" ht="11.1" hidden="1" customHeight="1" outlineLevel="2" x14ac:dyDescent="0.2">
      <c r="A277" s="108" t="s">
        <v>366</v>
      </c>
      <c r="B277" s="108"/>
      <c r="C277" s="108"/>
      <c r="D277" s="108"/>
      <c r="E277" s="28" t="s">
        <v>147</v>
      </c>
      <c r="F277" s="29">
        <v>2</v>
      </c>
      <c r="G277" s="30">
        <v>1015</v>
      </c>
      <c r="H277" s="31">
        <v>203</v>
      </c>
      <c r="I277" s="30">
        <v>1218</v>
      </c>
    </row>
    <row r="278" spans="1:9" s="18" customFormat="1" ht="11.1" hidden="1" customHeight="1" outlineLevel="2" x14ac:dyDescent="0.2">
      <c r="A278" s="108" t="s">
        <v>358</v>
      </c>
      <c r="B278" s="108"/>
      <c r="C278" s="108"/>
      <c r="D278" s="108"/>
      <c r="E278" s="28" t="s">
        <v>147</v>
      </c>
      <c r="F278" s="29">
        <v>2</v>
      </c>
      <c r="G278" s="30">
        <v>16141.67</v>
      </c>
      <c r="H278" s="32">
        <v>3228.33</v>
      </c>
      <c r="I278" s="30">
        <v>19370</v>
      </c>
    </row>
    <row r="279" spans="1:9" s="18" customFormat="1" ht="11.1" hidden="1" customHeight="1" outlineLevel="2" x14ac:dyDescent="0.2">
      <c r="A279" s="108" t="s">
        <v>358</v>
      </c>
      <c r="B279" s="108"/>
      <c r="C279" s="108"/>
      <c r="D279" s="108"/>
      <c r="E279" s="28" t="s">
        <v>147</v>
      </c>
      <c r="F279" s="29">
        <v>1</v>
      </c>
      <c r="G279" s="30">
        <v>8070.83</v>
      </c>
      <c r="H279" s="32">
        <v>1614.17</v>
      </c>
      <c r="I279" s="30">
        <v>9685</v>
      </c>
    </row>
    <row r="280" spans="1:9" s="18" customFormat="1" ht="11.1" hidden="1" customHeight="1" outlineLevel="2" collapsed="1" x14ac:dyDescent="0.2">
      <c r="A280" s="108" t="s">
        <v>359</v>
      </c>
      <c r="B280" s="108"/>
      <c r="C280" s="108"/>
      <c r="D280" s="108"/>
      <c r="E280" s="28" t="s">
        <v>147</v>
      </c>
      <c r="F280" s="29">
        <v>1</v>
      </c>
      <c r="G280" s="30">
        <v>5220.83</v>
      </c>
      <c r="H280" s="32">
        <v>1044.17</v>
      </c>
      <c r="I280" s="30">
        <v>6265</v>
      </c>
    </row>
    <row r="281" spans="1:9" s="18" customFormat="1" ht="11.1" hidden="1" customHeight="1" outlineLevel="1" collapsed="1" x14ac:dyDescent="0.2">
      <c r="A281" s="107" t="s">
        <v>367</v>
      </c>
      <c r="B281" s="107"/>
      <c r="C281" s="107"/>
      <c r="D281" s="107"/>
      <c r="E281" s="107"/>
      <c r="F281" s="25">
        <v>34</v>
      </c>
      <c r="G281" s="26">
        <v>168931.58</v>
      </c>
      <c r="H281" s="27">
        <v>33786.32</v>
      </c>
      <c r="I281" s="39">
        <v>202717.9</v>
      </c>
    </row>
    <row r="282" spans="1:9" s="18" customFormat="1" ht="11.1" hidden="1" customHeight="1" outlineLevel="2" x14ac:dyDescent="0.2">
      <c r="A282" s="108" t="s">
        <v>368</v>
      </c>
      <c r="B282" s="108"/>
      <c r="C282" s="108"/>
      <c r="D282" s="108"/>
      <c r="E282" s="28" t="s">
        <v>147</v>
      </c>
      <c r="F282" s="29">
        <v>2</v>
      </c>
      <c r="G282" s="30">
        <v>5200</v>
      </c>
      <c r="H282" s="32">
        <v>1040</v>
      </c>
      <c r="I282" s="30">
        <v>6240</v>
      </c>
    </row>
    <row r="283" spans="1:9" s="18" customFormat="1" ht="11.1" hidden="1" customHeight="1" outlineLevel="2" x14ac:dyDescent="0.2">
      <c r="A283" s="108" t="s">
        <v>325</v>
      </c>
      <c r="B283" s="108"/>
      <c r="C283" s="108"/>
      <c r="D283" s="108"/>
      <c r="E283" s="28" t="s">
        <v>147</v>
      </c>
      <c r="F283" s="29">
        <v>2</v>
      </c>
      <c r="G283" s="30">
        <v>13920.83</v>
      </c>
      <c r="H283" s="32">
        <v>2784.17</v>
      </c>
      <c r="I283" s="30">
        <v>16705</v>
      </c>
    </row>
    <row r="284" spans="1:9" s="18" customFormat="1" ht="11.1" hidden="1" customHeight="1" outlineLevel="2" x14ac:dyDescent="0.2">
      <c r="A284" s="108" t="s">
        <v>229</v>
      </c>
      <c r="B284" s="108"/>
      <c r="C284" s="108"/>
      <c r="D284" s="108"/>
      <c r="E284" s="28" t="s">
        <v>147</v>
      </c>
      <c r="F284" s="29">
        <v>5</v>
      </c>
      <c r="G284" s="30">
        <v>4604.17</v>
      </c>
      <c r="H284" s="31">
        <v>920.83</v>
      </c>
      <c r="I284" s="30">
        <v>5525</v>
      </c>
    </row>
    <row r="285" spans="1:9" s="18" customFormat="1" ht="11.1" hidden="1" customHeight="1" outlineLevel="2" x14ac:dyDescent="0.2">
      <c r="A285" s="108" t="s">
        <v>369</v>
      </c>
      <c r="B285" s="108"/>
      <c r="C285" s="108"/>
      <c r="D285" s="108"/>
      <c r="E285" s="28" t="s">
        <v>147</v>
      </c>
      <c r="F285" s="29">
        <v>5</v>
      </c>
      <c r="G285" s="30">
        <v>19906.25</v>
      </c>
      <c r="H285" s="32">
        <v>3981.25</v>
      </c>
      <c r="I285" s="30">
        <v>23887.5</v>
      </c>
    </row>
    <row r="286" spans="1:9" s="18" customFormat="1" ht="11.1" hidden="1" customHeight="1" outlineLevel="2" x14ac:dyDescent="0.2">
      <c r="A286" s="108" t="s">
        <v>266</v>
      </c>
      <c r="B286" s="108"/>
      <c r="C286" s="108"/>
      <c r="D286" s="108"/>
      <c r="E286" s="28" t="s">
        <v>147</v>
      </c>
      <c r="F286" s="29">
        <v>4</v>
      </c>
      <c r="G286" s="30">
        <v>10941.67</v>
      </c>
      <c r="H286" s="32">
        <v>2188.33</v>
      </c>
      <c r="I286" s="30">
        <v>13130</v>
      </c>
    </row>
    <row r="287" spans="1:9" s="18" customFormat="1" ht="11.1" hidden="1" customHeight="1" outlineLevel="2" x14ac:dyDescent="0.2">
      <c r="A287" s="108" t="s">
        <v>370</v>
      </c>
      <c r="B287" s="108"/>
      <c r="C287" s="108"/>
      <c r="D287" s="108"/>
      <c r="E287" s="28" t="s">
        <v>147</v>
      </c>
      <c r="F287" s="29">
        <v>2</v>
      </c>
      <c r="G287" s="30">
        <v>9316.67</v>
      </c>
      <c r="H287" s="32">
        <v>1863.33</v>
      </c>
      <c r="I287" s="30">
        <v>11180</v>
      </c>
    </row>
    <row r="288" spans="1:9" s="18" customFormat="1" ht="11.1" hidden="1" customHeight="1" outlineLevel="2" x14ac:dyDescent="0.2">
      <c r="A288" s="108" t="s">
        <v>371</v>
      </c>
      <c r="B288" s="108"/>
      <c r="C288" s="108"/>
      <c r="D288" s="108"/>
      <c r="E288" s="28" t="s">
        <v>147</v>
      </c>
      <c r="F288" s="29">
        <v>2</v>
      </c>
      <c r="G288" s="30">
        <v>89522</v>
      </c>
      <c r="H288" s="32">
        <v>17904.400000000001</v>
      </c>
      <c r="I288" s="30">
        <v>107426.4</v>
      </c>
    </row>
    <row r="289" spans="1:9" s="18" customFormat="1" ht="11.1" hidden="1" customHeight="1" outlineLevel="2" x14ac:dyDescent="0.2">
      <c r="A289" s="108" t="s">
        <v>372</v>
      </c>
      <c r="B289" s="108"/>
      <c r="C289" s="108"/>
      <c r="D289" s="108"/>
      <c r="E289" s="28" t="s">
        <v>147</v>
      </c>
      <c r="F289" s="29">
        <v>3</v>
      </c>
      <c r="G289" s="44">
        <v>420</v>
      </c>
      <c r="H289" s="31">
        <v>84</v>
      </c>
      <c r="I289" s="44">
        <v>504</v>
      </c>
    </row>
    <row r="290" spans="1:9" s="18" customFormat="1" ht="11.1" hidden="1" customHeight="1" outlineLevel="2" x14ac:dyDescent="0.2">
      <c r="A290" s="108" t="s">
        <v>373</v>
      </c>
      <c r="B290" s="108"/>
      <c r="C290" s="108"/>
      <c r="D290" s="108"/>
      <c r="E290" s="28" t="s">
        <v>147</v>
      </c>
      <c r="F290" s="29">
        <v>5</v>
      </c>
      <c r="G290" s="30">
        <v>10208.33</v>
      </c>
      <c r="H290" s="32">
        <v>2041.67</v>
      </c>
      <c r="I290" s="30">
        <v>12250</v>
      </c>
    </row>
    <row r="291" spans="1:9" s="18" customFormat="1" ht="11.1" hidden="1" customHeight="1" outlineLevel="2" x14ac:dyDescent="0.2">
      <c r="A291" s="108" t="s">
        <v>374</v>
      </c>
      <c r="B291" s="108"/>
      <c r="C291" s="108"/>
      <c r="D291" s="108"/>
      <c r="E291" s="28" t="s">
        <v>147</v>
      </c>
      <c r="F291" s="29">
        <v>2</v>
      </c>
      <c r="G291" s="44">
        <v>233.33</v>
      </c>
      <c r="H291" s="31">
        <v>46.67</v>
      </c>
      <c r="I291" s="44">
        <v>280</v>
      </c>
    </row>
    <row r="292" spans="1:9" s="18" customFormat="1" ht="11.1" hidden="1" customHeight="1" outlineLevel="2" collapsed="1" x14ac:dyDescent="0.2">
      <c r="A292" s="108" t="s">
        <v>375</v>
      </c>
      <c r="B292" s="108"/>
      <c r="C292" s="108"/>
      <c r="D292" s="108"/>
      <c r="E292" s="28" t="s">
        <v>147</v>
      </c>
      <c r="F292" s="29">
        <v>2</v>
      </c>
      <c r="G292" s="30">
        <v>4658.33</v>
      </c>
      <c r="H292" s="31">
        <v>931.67</v>
      </c>
      <c r="I292" s="30">
        <v>5590</v>
      </c>
    </row>
    <row r="293" spans="1:9" s="18" customFormat="1" ht="11.1" hidden="1" customHeight="1" outlineLevel="1" collapsed="1" x14ac:dyDescent="0.2">
      <c r="A293" s="107" t="s">
        <v>376</v>
      </c>
      <c r="B293" s="107"/>
      <c r="C293" s="107"/>
      <c r="D293" s="107"/>
      <c r="E293" s="107"/>
      <c r="F293" s="25">
        <v>883</v>
      </c>
      <c r="G293" s="26">
        <v>1667469.21</v>
      </c>
      <c r="H293" s="27">
        <v>333493.78999999998</v>
      </c>
      <c r="I293" s="34">
        <v>2000963</v>
      </c>
    </row>
    <row r="294" spans="1:9" s="18" customFormat="1" ht="11.1" hidden="1" customHeight="1" outlineLevel="2" x14ac:dyDescent="0.2">
      <c r="A294" s="108" t="s">
        <v>248</v>
      </c>
      <c r="B294" s="108"/>
      <c r="C294" s="108"/>
      <c r="D294" s="108"/>
      <c r="E294" s="28" t="s">
        <v>147</v>
      </c>
      <c r="F294" s="29">
        <v>12</v>
      </c>
      <c r="G294" s="30">
        <v>42700</v>
      </c>
      <c r="H294" s="32">
        <v>8540</v>
      </c>
      <c r="I294" s="30">
        <v>51240</v>
      </c>
    </row>
    <row r="295" spans="1:9" s="18" customFormat="1" ht="11.1" hidden="1" customHeight="1" outlineLevel="2" x14ac:dyDescent="0.2">
      <c r="A295" s="108" t="s">
        <v>377</v>
      </c>
      <c r="B295" s="108"/>
      <c r="C295" s="108"/>
      <c r="D295" s="108"/>
      <c r="E295" s="28" t="s">
        <v>147</v>
      </c>
      <c r="F295" s="29">
        <v>5</v>
      </c>
      <c r="G295" s="30">
        <v>37625</v>
      </c>
      <c r="H295" s="32">
        <v>7525</v>
      </c>
      <c r="I295" s="30">
        <v>45150</v>
      </c>
    </row>
    <row r="296" spans="1:9" s="18" customFormat="1" ht="11.1" hidden="1" customHeight="1" outlineLevel="2" x14ac:dyDescent="0.2">
      <c r="A296" s="108" t="s">
        <v>378</v>
      </c>
      <c r="B296" s="108"/>
      <c r="C296" s="108"/>
      <c r="D296" s="108"/>
      <c r="E296" s="28" t="s">
        <v>147</v>
      </c>
      <c r="F296" s="29">
        <v>4</v>
      </c>
      <c r="G296" s="30">
        <v>29866.67</v>
      </c>
      <c r="H296" s="32">
        <v>5973.33</v>
      </c>
      <c r="I296" s="30">
        <v>35840</v>
      </c>
    </row>
    <row r="297" spans="1:9" s="18" customFormat="1" ht="11.1" hidden="1" customHeight="1" outlineLevel="2" x14ac:dyDescent="0.2">
      <c r="A297" s="108" t="s">
        <v>378</v>
      </c>
      <c r="B297" s="108"/>
      <c r="C297" s="108"/>
      <c r="D297" s="108"/>
      <c r="E297" s="28" t="s">
        <v>147</v>
      </c>
      <c r="F297" s="29">
        <v>2</v>
      </c>
      <c r="G297" s="30">
        <v>14933.33</v>
      </c>
      <c r="H297" s="32">
        <v>2986.67</v>
      </c>
      <c r="I297" s="30">
        <v>17920</v>
      </c>
    </row>
    <row r="298" spans="1:9" s="18" customFormat="1" ht="11.1" hidden="1" customHeight="1" outlineLevel="2" x14ac:dyDescent="0.2">
      <c r="A298" s="108" t="s">
        <v>378</v>
      </c>
      <c r="B298" s="108"/>
      <c r="C298" s="108"/>
      <c r="D298" s="108"/>
      <c r="E298" s="28" t="s">
        <v>147</v>
      </c>
      <c r="F298" s="29">
        <v>4</v>
      </c>
      <c r="G298" s="30">
        <v>29866.67</v>
      </c>
      <c r="H298" s="32">
        <v>5973.33</v>
      </c>
      <c r="I298" s="30">
        <v>35840</v>
      </c>
    </row>
    <row r="299" spans="1:9" s="18" customFormat="1" ht="11.1" hidden="1" customHeight="1" outlineLevel="2" x14ac:dyDescent="0.2">
      <c r="A299" s="108" t="s">
        <v>379</v>
      </c>
      <c r="B299" s="108"/>
      <c r="C299" s="108"/>
      <c r="D299" s="108"/>
      <c r="E299" s="28" t="s">
        <v>147</v>
      </c>
      <c r="F299" s="29">
        <v>10</v>
      </c>
      <c r="G299" s="30">
        <v>9479.17</v>
      </c>
      <c r="H299" s="32">
        <v>1895.83</v>
      </c>
      <c r="I299" s="30">
        <v>11375</v>
      </c>
    </row>
    <row r="300" spans="1:9" s="18" customFormat="1" ht="11.1" hidden="1" customHeight="1" outlineLevel="2" x14ac:dyDescent="0.2">
      <c r="A300" s="108" t="s">
        <v>380</v>
      </c>
      <c r="B300" s="108"/>
      <c r="C300" s="108"/>
      <c r="D300" s="108"/>
      <c r="E300" s="28" t="s">
        <v>147</v>
      </c>
      <c r="F300" s="29">
        <v>10</v>
      </c>
      <c r="G300" s="30">
        <v>6770.83</v>
      </c>
      <c r="H300" s="32">
        <v>1354.17</v>
      </c>
      <c r="I300" s="30">
        <v>8125</v>
      </c>
    </row>
    <row r="301" spans="1:9" s="18" customFormat="1" ht="11.1" hidden="1" customHeight="1" outlineLevel="2" x14ac:dyDescent="0.2">
      <c r="A301" s="108" t="s">
        <v>381</v>
      </c>
      <c r="B301" s="108"/>
      <c r="C301" s="108"/>
      <c r="D301" s="108"/>
      <c r="E301" s="28" t="s">
        <v>147</v>
      </c>
      <c r="F301" s="29">
        <v>45</v>
      </c>
      <c r="G301" s="30">
        <v>10762.5</v>
      </c>
      <c r="H301" s="32">
        <v>2152.5</v>
      </c>
      <c r="I301" s="30">
        <v>12915</v>
      </c>
    </row>
    <row r="302" spans="1:9" s="18" customFormat="1" ht="11.1" hidden="1" customHeight="1" outlineLevel="2" x14ac:dyDescent="0.2">
      <c r="A302" s="108" t="s">
        <v>382</v>
      </c>
      <c r="B302" s="108"/>
      <c r="C302" s="108"/>
      <c r="D302" s="108"/>
      <c r="E302" s="28" t="s">
        <v>147</v>
      </c>
      <c r="F302" s="29">
        <v>1</v>
      </c>
      <c r="G302" s="44">
        <v>729.17</v>
      </c>
      <c r="H302" s="31">
        <v>145.83000000000001</v>
      </c>
      <c r="I302" s="44">
        <v>875</v>
      </c>
    </row>
    <row r="303" spans="1:9" s="18" customFormat="1" ht="11.1" hidden="1" customHeight="1" outlineLevel="2" x14ac:dyDescent="0.2">
      <c r="A303" s="108" t="s">
        <v>383</v>
      </c>
      <c r="B303" s="108"/>
      <c r="C303" s="108"/>
      <c r="D303" s="108"/>
      <c r="E303" s="28" t="s">
        <v>147</v>
      </c>
      <c r="F303" s="29">
        <v>1</v>
      </c>
      <c r="G303" s="44">
        <v>670.83</v>
      </c>
      <c r="H303" s="31">
        <v>134.16999999999999</v>
      </c>
      <c r="I303" s="44">
        <v>805</v>
      </c>
    </row>
    <row r="304" spans="1:9" s="18" customFormat="1" ht="11.1" hidden="1" customHeight="1" outlineLevel="2" x14ac:dyDescent="0.2">
      <c r="A304" s="108" t="s">
        <v>384</v>
      </c>
      <c r="B304" s="108"/>
      <c r="C304" s="108"/>
      <c r="D304" s="108"/>
      <c r="E304" s="28" t="s">
        <v>147</v>
      </c>
      <c r="F304" s="29">
        <v>10</v>
      </c>
      <c r="G304" s="30">
        <v>13487.5</v>
      </c>
      <c r="H304" s="32">
        <v>2697.5</v>
      </c>
      <c r="I304" s="30">
        <v>16185</v>
      </c>
    </row>
    <row r="305" spans="1:9" s="18" customFormat="1" ht="11.1" hidden="1" customHeight="1" outlineLevel="2" x14ac:dyDescent="0.2">
      <c r="A305" s="108" t="s">
        <v>240</v>
      </c>
      <c r="B305" s="108"/>
      <c r="C305" s="108"/>
      <c r="D305" s="108"/>
      <c r="E305" s="28" t="s">
        <v>147</v>
      </c>
      <c r="F305" s="29">
        <v>10</v>
      </c>
      <c r="G305" s="30">
        <v>9916.67</v>
      </c>
      <c r="H305" s="32">
        <v>1983.33</v>
      </c>
      <c r="I305" s="30">
        <v>11900</v>
      </c>
    </row>
    <row r="306" spans="1:9" s="18" customFormat="1" ht="11.1" hidden="1" customHeight="1" outlineLevel="2" x14ac:dyDescent="0.2">
      <c r="A306" s="108" t="s">
        <v>236</v>
      </c>
      <c r="B306" s="108"/>
      <c r="C306" s="108"/>
      <c r="D306" s="108"/>
      <c r="E306" s="28" t="s">
        <v>147</v>
      </c>
      <c r="F306" s="29">
        <v>1</v>
      </c>
      <c r="G306" s="30">
        <v>8341.67</v>
      </c>
      <c r="H306" s="32">
        <v>1668.33</v>
      </c>
      <c r="I306" s="30">
        <v>10010</v>
      </c>
    </row>
    <row r="307" spans="1:9" s="18" customFormat="1" ht="11.1" hidden="1" customHeight="1" outlineLevel="2" x14ac:dyDescent="0.2">
      <c r="A307" s="108" t="s">
        <v>312</v>
      </c>
      <c r="B307" s="108"/>
      <c r="C307" s="108"/>
      <c r="D307" s="108"/>
      <c r="E307" s="28" t="s">
        <v>147</v>
      </c>
      <c r="F307" s="29">
        <v>10</v>
      </c>
      <c r="G307" s="30">
        <v>11083.33</v>
      </c>
      <c r="H307" s="32">
        <v>2216.67</v>
      </c>
      <c r="I307" s="30">
        <v>13300</v>
      </c>
    </row>
    <row r="308" spans="1:9" s="18" customFormat="1" ht="11.1" hidden="1" customHeight="1" outlineLevel="2" x14ac:dyDescent="0.2">
      <c r="A308" s="108" t="s">
        <v>305</v>
      </c>
      <c r="B308" s="108"/>
      <c r="C308" s="108"/>
      <c r="D308" s="108"/>
      <c r="E308" s="28" t="s">
        <v>147</v>
      </c>
      <c r="F308" s="29">
        <v>5</v>
      </c>
      <c r="G308" s="30">
        <v>1166.67</v>
      </c>
      <c r="H308" s="31">
        <v>233.33</v>
      </c>
      <c r="I308" s="30">
        <v>1400</v>
      </c>
    </row>
    <row r="309" spans="1:9" s="18" customFormat="1" ht="11.1" hidden="1" customHeight="1" outlineLevel="2" x14ac:dyDescent="0.2">
      <c r="A309" s="108" t="s">
        <v>385</v>
      </c>
      <c r="B309" s="108"/>
      <c r="C309" s="108"/>
      <c r="D309" s="108"/>
      <c r="E309" s="28" t="s">
        <v>147</v>
      </c>
      <c r="F309" s="29">
        <v>1</v>
      </c>
      <c r="G309" s="30">
        <v>1020.83</v>
      </c>
      <c r="H309" s="31">
        <v>204.17</v>
      </c>
      <c r="I309" s="30">
        <v>1225</v>
      </c>
    </row>
    <row r="310" spans="1:9" s="18" customFormat="1" ht="11.1" hidden="1" customHeight="1" outlineLevel="2" x14ac:dyDescent="0.2">
      <c r="A310" s="108" t="s">
        <v>386</v>
      </c>
      <c r="B310" s="108"/>
      <c r="C310" s="108"/>
      <c r="D310" s="108"/>
      <c r="E310" s="28" t="s">
        <v>147</v>
      </c>
      <c r="F310" s="29">
        <v>10</v>
      </c>
      <c r="G310" s="30">
        <v>23779.17</v>
      </c>
      <c r="H310" s="32">
        <v>4755.83</v>
      </c>
      <c r="I310" s="30">
        <v>28535</v>
      </c>
    </row>
    <row r="311" spans="1:9" s="18" customFormat="1" ht="11.1" hidden="1" customHeight="1" outlineLevel="2" x14ac:dyDescent="0.2">
      <c r="A311" s="108" t="s">
        <v>387</v>
      </c>
      <c r="B311" s="108"/>
      <c r="C311" s="108"/>
      <c r="D311" s="108"/>
      <c r="E311" s="28" t="s">
        <v>147</v>
      </c>
      <c r="F311" s="29">
        <v>10</v>
      </c>
      <c r="G311" s="30">
        <v>6229.17</v>
      </c>
      <c r="H311" s="32">
        <v>1245.83</v>
      </c>
      <c r="I311" s="30">
        <v>7475</v>
      </c>
    </row>
    <row r="312" spans="1:9" s="18" customFormat="1" ht="11.1" hidden="1" customHeight="1" outlineLevel="2" x14ac:dyDescent="0.2">
      <c r="A312" s="108" t="s">
        <v>388</v>
      </c>
      <c r="B312" s="108"/>
      <c r="C312" s="108"/>
      <c r="D312" s="108"/>
      <c r="E312" s="28" t="s">
        <v>147</v>
      </c>
      <c r="F312" s="29">
        <v>2</v>
      </c>
      <c r="G312" s="30">
        <v>2220.83</v>
      </c>
      <c r="H312" s="31">
        <v>444.17</v>
      </c>
      <c r="I312" s="30">
        <v>2665</v>
      </c>
    </row>
    <row r="313" spans="1:9" s="18" customFormat="1" ht="11.1" hidden="1" customHeight="1" outlineLevel="2" x14ac:dyDescent="0.2">
      <c r="A313" s="108" t="s">
        <v>389</v>
      </c>
      <c r="B313" s="108"/>
      <c r="C313" s="108"/>
      <c r="D313" s="108"/>
      <c r="E313" s="28" t="s">
        <v>147</v>
      </c>
      <c r="F313" s="29">
        <v>4</v>
      </c>
      <c r="G313" s="30">
        <v>32500</v>
      </c>
      <c r="H313" s="32">
        <v>6500</v>
      </c>
      <c r="I313" s="30">
        <v>39000</v>
      </c>
    </row>
    <row r="314" spans="1:9" s="18" customFormat="1" ht="11.1" hidden="1" customHeight="1" outlineLevel="2" x14ac:dyDescent="0.2">
      <c r="A314" s="108" t="s">
        <v>380</v>
      </c>
      <c r="B314" s="108"/>
      <c r="C314" s="108"/>
      <c r="D314" s="108"/>
      <c r="E314" s="28" t="s">
        <v>147</v>
      </c>
      <c r="F314" s="29">
        <v>5</v>
      </c>
      <c r="G314" s="30">
        <v>3385.42</v>
      </c>
      <c r="H314" s="31">
        <v>677.08</v>
      </c>
      <c r="I314" s="30">
        <v>4062.5</v>
      </c>
    </row>
    <row r="315" spans="1:9" s="18" customFormat="1" ht="11.1" hidden="1" customHeight="1" outlineLevel="2" x14ac:dyDescent="0.2">
      <c r="A315" s="108" t="s">
        <v>390</v>
      </c>
      <c r="B315" s="108"/>
      <c r="C315" s="108"/>
      <c r="D315" s="108"/>
      <c r="E315" s="28" t="s">
        <v>147</v>
      </c>
      <c r="F315" s="29">
        <v>1</v>
      </c>
      <c r="G315" s="44">
        <v>991.67</v>
      </c>
      <c r="H315" s="31">
        <v>198.33</v>
      </c>
      <c r="I315" s="30">
        <v>1190</v>
      </c>
    </row>
    <row r="316" spans="1:9" s="18" customFormat="1" ht="11.1" hidden="1" customHeight="1" outlineLevel="2" x14ac:dyDescent="0.2">
      <c r="A316" s="108" t="s">
        <v>308</v>
      </c>
      <c r="B316" s="108"/>
      <c r="C316" s="108"/>
      <c r="D316" s="108"/>
      <c r="E316" s="28" t="s">
        <v>147</v>
      </c>
      <c r="F316" s="29">
        <v>8</v>
      </c>
      <c r="G316" s="30">
        <v>7466.67</v>
      </c>
      <c r="H316" s="32">
        <v>1493.33</v>
      </c>
      <c r="I316" s="30">
        <v>8960</v>
      </c>
    </row>
    <row r="317" spans="1:9" s="18" customFormat="1" ht="11.1" hidden="1" customHeight="1" outlineLevel="2" x14ac:dyDescent="0.2">
      <c r="A317" s="108" t="s">
        <v>391</v>
      </c>
      <c r="B317" s="108"/>
      <c r="C317" s="108"/>
      <c r="D317" s="108"/>
      <c r="E317" s="28" t="s">
        <v>147</v>
      </c>
      <c r="F317" s="29">
        <v>34</v>
      </c>
      <c r="G317" s="30">
        <v>8330</v>
      </c>
      <c r="H317" s="32">
        <v>1666</v>
      </c>
      <c r="I317" s="30">
        <v>9996</v>
      </c>
    </row>
    <row r="318" spans="1:9" s="18" customFormat="1" ht="11.1" hidden="1" customHeight="1" outlineLevel="2" x14ac:dyDescent="0.2">
      <c r="A318" s="108" t="s">
        <v>316</v>
      </c>
      <c r="B318" s="108"/>
      <c r="C318" s="108"/>
      <c r="D318" s="108"/>
      <c r="E318" s="28" t="s">
        <v>147</v>
      </c>
      <c r="F318" s="29">
        <v>5</v>
      </c>
      <c r="G318" s="30">
        <v>41979.17</v>
      </c>
      <c r="H318" s="32">
        <v>8395.83</v>
      </c>
      <c r="I318" s="30">
        <v>50375</v>
      </c>
    </row>
    <row r="319" spans="1:9" s="18" customFormat="1" ht="11.1" hidden="1" customHeight="1" outlineLevel="2" x14ac:dyDescent="0.2">
      <c r="A319" s="108" t="s">
        <v>392</v>
      </c>
      <c r="B319" s="108"/>
      <c r="C319" s="108"/>
      <c r="D319" s="108"/>
      <c r="E319" s="28" t="s">
        <v>147</v>
      </c>
      <c r="F319" s="29">
        <v>10</v>
      </c>
      <c r="G319" s="30">
        <v>23779.17</v>
      </c>
      <c r="H319" s="32">
        <v>4755.83</v>
      </c>
      <c r="I319" s="30">
        <v>28535</v>
      </c>
    </row>
    <row r="320" spans="1:9" s="18" customFormat="1" ht="11.1" hidden="1" customHeight="1" outlineLevel="2" x14ac:dyDescent="0.2">
      <c r="A320" s="108" t="s">
        <v>393</v>
      </c>
      <c r="B320" s="108"/>
      <c r="C320" s="108"/>
      <c r="D320" s="108"/>
      <c r="E320" s="28" t="s">
        <v>147</v>
      </c>
      <c r="F320" s="29">
        <v>5</v>
      </c>
      <c r="G320" s="30">
        <v>1225</v>
      </c>
      <c r="H320" s="31">
        <v>245</v>
      </c>
      <c r="I320" s="30">
        <v>1470</v>
      </c>
    </row>
    <row r="321" spans="1:9" s="18" customFormat="1" ht="11.1" hidden="1" customHeight="1" outlineLevel="2" x14ac:dyDescent="0.2">
      <c r="A321" s="108" t="s">
        <v>307</v>
      </c>
      <c r="B321" s="108"/>
      <c r="C321" s="108"/>
      <c r="D321" s="108"/>
      <c r="E321" s="28" t="s">
        <v>147</v>
      </c>
      <c r="F321" s="29">
        <v>10</v>
      </c>
      <c r="G321" s="30">
        <v>7041.67</v>
      </c>
      <c r="H321" s="32">
        <v>1408.33</v>
      </c>
      <c r="I321" s="30">
        <v>8450</v>
      </c>
    </row>
    <row r="322" spans="1:9" s="18" customFormat="1" ht="11.1" hidden="1" customHeight="1" outlineLevel="2" x14ac:dyDescent="0.2">
      <c r="A322" s="108" t="s">
        <v>390</v>
      </c>
      <c r="B322" s="108"/>
      <c r="C322" s="108"/>
      <c r="D322" s="108"/>
      <c r="E322" s="28" t="s">
        <v>147</v>
      </c>
      <c r="F322" s="29">
        <v>2</v>
      </c>
      <c r="G322" s="30">
        <v>1983.33</v>
      </c>
      <c r="H322" s="31">
        <v>396.67</v>
      </c>
      <c r="I322" s="30">
        <v>2380</v>
      </c>
    </row>
    <row r="323" spans="1:9" s="18" customFormat="1" ht="11.1" hidden="1" customHeight="1" outlineLevel="2" x14ac:dyDescent="0.2">
      <c r="A323" s="108" t="s">
        <v>390</v>
      </c>
      <c r="B323" s="108"/>
      <c r="C323" s="108"/>
      <c r="D323" s="108"/>
      <c r="E323" s="28" t="s">
        <v>147</v>
      </c>
      <c r="F323" s="29">
        <v>3</v>
      </c>
      <c r="G323" s="30">
        <v>2975</v>
      </c>
      <c r="H323" s="31">
        <v>595</v>
      </c>
      <c r="I323" s="30">
        <v>3570</v>
      </c>
    </row>
    <row r="324" spans="1:9" s="18" customFormat="1" ht="11.1" hidden="1" customHeight="1" outlineLevel="2" x14ac:dyDescent="0.2">
      <c r="A324" s="108" t="s">
        <v>394</v>
      </c>
      <c r="B324" s="108"/>
      <c r="C324" s="108"/>
      <c r="D324" s="108"/>
      <c r="E324" s="28" t="s">
        <v>147</v>
      </c>
      <c r="F324" s="29">
        <v>1</v>
      </c>
      <c r="G324" s="30">
        <v>15808.33</v>
      </c>
      <c r="H324" s="32">
        <v>3161.67</v>
      </c>
      <c r="I324" s="30">
        <v>18970</v>
      </c>
    </row>
    <row r="325" spans="1:9" s="18" customFormat="1" ht="11.1" hidden="1" customHeight="1" outlineLevel="2" x14ac:dyDescent="0.2">
      <c r="A325" s="108" t="s">
        <v>395</v>
      </c>
      <c r="B325" s="108"/>
      <c r="C325" s="108"/>
      <c r="D325" s="108"/>
      <c r="E325" s="28" t="s">
        <v>147</v>
      </c>
      <c r="F325" s="29">
        <v>20</v>
      </c>
      <c r="G325" s="30">
        <v>35208.33</v>
      </c>
      <c r="H325" s="32">
        <v>7041.67</v>
      </c>
      <c r="I325" s="30">
        <v>42250</v>
      </c>
    </row>
    <row r="326" spans="1:9" s="18" customFormat="1" ht="11.1" hidden="1" customHeight="1" outlineLevel="2" x14ac:dyDescent="0.2">
      <c r="A326" s="108" t="s">
        <v>396</v>
      </c>
      <c r="B326" s="108"/>
      <c r="C326" s="108"/>
      <c r="D326" s="108"/>
      <c r="E326" s="28" t="s">
        <v>147</v>
      </c>
      <c r="F326" s="29">
        <v>10</v>
      </c>
      <c r="G326" s="30">
        <v>11916.67</v>
      </c>
      <c r="H326" s="32">
        <v>2383.33</v>
      </c>
      <c r="I326" s="30">
        <v>14300</v>
      </c>
    </row>
    <row r="327" spans="1:9" s="18" customFormat="1" ht="11.1" hidden="1" customHeight="1" outlineLevel="2" x14ac:dyDescent="0.2">
      <c r="A327" s="108" t="s">
        <v>397</v>
      </c>
      <c r="B327" s="108"/>
      <c r="C327" s="108"/>
      <c r="D327" s="108"/>
      <c r="E327" s="28" t="s">
        <v>147</v>
      </c>
      <c r="F327" s="29">
        <v>1</v>
      </c>
      <c r="G327" s="30">
        <v>24791.66</v>
      </c>
      <c r="H327" s="32">
        <v>4958.34</v>
      </c>
      <c r="I327" s="30">
        <v>29750</v>
      </c>
    </row>
    <row r="328" spans="1:9" s="18" customFormat="1" ht="11.1" hidden="1" customHeight="1" outlineLevel="2" x14ac:dyDescent="0.2">
      <c r="A328" s="108" t="s">
        <v>397</v>
      </c>
      <c r="B328" s="108"/>
      <c r="C328" s="108"/>
      <c r="D328" s="108"/>
      <c r="E328" s="28" t="s">
        <v>147</v>
      </c>
      <c r="F328" s="29">
        <v>1</v>
      </c>
      <c r="G328" s="30">
        <v>24791.67</v>
      </c>
      <c r="H328" s="32">
        <v>4958.33</v>
      </c>
      <c r="I328" s="30">
        <v>29750</v>
      </c>
    </row>
    <row r="329" spans="1:9" s="18" customFormat="1" ht="11.1" hidden="1" customHeight="1" outlineLevel="2" x14ac:dyDescent="0.2">
      <c r="A329" s="108" t="s">
        <v>398</v>
      </c>
      <c r="B329" s="108"/>
      <c r="C329" s="108"/>
      <c r="D329" s="108"/>
      <c r="E329" s="28" t="s">
        <v>147</v>
      </c>
      <c r="F329" s="29">
        <v>5</v>
      </c>
      <c r="G329" s="30">
        <v>11375</v>
      </c>
      <c r="H329" s="32">
        <v>2275</v>
      </c>
      <c r="I329" s="30">
        <v>13650</v>
      </c>
    </row>
    <row r="330" spans="1:9" s="18" customFormat="1" ht="11.1" hidden="1" customHeight="1" outlineLevel="2" x14ac:dyDescent="0.2">
      <c r="A330" s="108" t="s">
        <v>399</v>
      </c>
      <c r="B330" s="108"/>
      <c r="C330" s="108"/>
      <c r="D330" s="108"/>
      <c r="E330" s="28" t="s">
        <v>147</v>
      </c>
      <c r="F330" s="29">
        <v>6</v>
      </c>
      <c r="G330" s="30">
        <v>1645</v>
      </c>
      <c r="H330" s="31">
        <v>329</v>
      </c>
      <c r="I330" s="30">
        <v>1974</v>
      </c>
    </row>
    <row r="331" spans="1:9" s="18" customFormat="1" ht="11.1" hidden="1" customHeight="1" outlineLevel="2" x14ac:dyDescent="0.2">
      <c r="A331" s="108" t="s">
        <v>400</v>
      </c>
      <c r="B331" s="108"/>
      <c r="C331" s="108"/>
      <c r="D331" s="108"/>
      <c r="E331" s="28" t="s">
        <v>147</v>
      </c>
      <c r="F331" s="29">
        <v>10</v>
      </c>
      <c r="G331" s="30">
        <v>11862.5</v>
      </c>
      <c r="H331" s="32">
        <v>2372.5</v>
      </c>
      <c r="I331" s="30">
        <v>14235</v>
      </c>
    </row>
    <row r="332" spans="1:9" s="18" customFormat="1" ht="11.1" hidden="1" customHeight="1" outlineLevel="2" x14ac:dyDescent="0.2">
      <c r="A332" s="108" t="s">
        <v>303</v>
      </c>
      <c r="B332" s="108"/>
      <c r="C332" s="108"/>
      <c r="D332" s="108"/>
      <c r="E332" s="28" t="s">
        <v>147</v>
      </c>
      <c r="F332" s="29">
        <v>20</v>
      </c>
      <c r="G332" s="30">
        <v>77000</v>
      </c>
      <c r="H332" s="32">
        <v>15400</v>
      </c>
      <c r="I332" s="30">
        <v>92400</v>
      </c>
    </row>
    <row r="333" spans="1:9" s="18" customFormat="1" ht="11.1" hidden="1" customHeight="1" outlineLevel="2" x14ac:dyDescent="0.2">
      <c r="A333" s="108" t="s">
        <v>393</v>
      </c>
      <c r="B333" s="108"/>
      <c r="C333" s="108"/>
      <c r="D333" s="108"/>
      <c r="E333" s="28" t="s">
        <v>147</v>
      </c>
      <c r="F333" s="29">
        <v>1</v>
      </c>
      <c r="G333" s="44">
        <v>245</v>
      </c>
      <c r="H333" s="31">
        <v>49</v>
      </c>
      <c r="I333" s="44">
        <v>294</v>
      </c>
    </row>
    <row r="334" spans="1:9" s="18" customFormat="1" ht="11.1" hidden="1" customHeight="1" outlineLevel="2" x14ac:dyDescent="0.2">
      <c r="A334" s="108" t="s">
        <v>401</v>
      </c>
      <c r="B334" s="108"/>
      <c r="C334" s="108"/>
      <c r="D334" s="108"/>
      <c r="E334" s="28" t="s">
        <v>147</v>
      </c>
      <c r="F334" s="29">
        <v>10</v>
      </c>
      <c r="G334" s="30">
        <v>106166.67</v>
      </c>
      <c r="H334" s="32">
        <v>21233.33</v>
      </c>
      <c r="I334" s="30">
        <v>127400</v>
      </c>
    </row>
    <row r="335" spans="1:9" s="18" customFormat="1" ht="11.1" hidden="1" customHeight="1" outlineLevel="2" x14ac:dyDescent="0.2">
      <c r="A335" s="108" t="s">
        <v>301</v>
      </c>
      <c r="B335" s="108"/>
      <c r="C335" s="108"/>
      <c r="D335" s="108"/>
      <c r="E335" s="28" t="s">
        <v>147</v>
      </c>
      <c r="F335" s="29">
        <v>3</v>
      </c>
      <c r="G335" s="30">
        <v>17468.75</v>
      </c>
      <c r="H335" s="32">
        <v>3493.75</v>
      </c>
      <c r="I335" s="30">
        <v>20962.5</v>
      </c>
    </row>
    <row r="336" spans="1:9" s="18" customFormat="1" ht="11.1" hidden="1" customHeight="1" outlineLevel="2" x14ac:dyDescent="0.2">
      <c r="A336" s="108" t="s">
        <v>402</v>
      </c>
      <c r="B336" s="108"/>
      <c r="C336" s="108"/>
      <c r="D336" s="108"/>
      <c r="E336" s="28" t="s">
        <v>147</v>
      </c>
      <c r="F336" s="29">
        <v>10</v>
      </c>
      <c r="G336" s="30">
        <v>10291.67</v>
      </c>
      <c r="H336" s="32">
        <v>2058.33</v>
      </c>
      <c r="I336" s="30">
        <v>12350</v>
      </c>
    </row>
    <row r="337" spans="1:9" s="18" customFormat="1" ht="11.1" hidden="1" customHeight="1" outlineLevel="2" x14ac:dyDescent="0.2">
      <c r="A337" s="108" t="s">
        <v>403</v>
      </c>
      <c r="B337" s="108"/>
      <c r="C337" s="108"/>
      <c r="D337" s="108"/>
      <c r="E337" s="28" t="s">
        <v>147</v>
      </c>
      <c r="F337" s="29">
        <v>10</v>
      </c>
      <c r="G337" s="30">
        <v>7041.67</v>
      </c>
      <c r="H337" s="32">
        <v>1408.33</v>
      </c>
      <c r="I337" s="30">
        <v>8450</v>
      </c>
    </row>
    <row r="338" spans="1:9" s="18" customFormat="1" ht="11.1" hidden="1" customHeight="1" outlineLevel="2" x14ac:dyDescent="0.2">
      <c r="A338" s="108" t="s">
        <v>404</v>
      </c>
      <c r="B338" s="108"/>
      <c r="C338" s="108"/>
      <c r="D338" s="108"/>
      <c r="E338" s="28" t="s">
        <v>147</v>
      </c>
      <c r="F338" s="29">
        <v>10</v>
      </c>
      <c r="G338" s="30">
        <v>6229.17</v>
      </c>
      <c r="H338" s="32">
        <v>1245.83</v>
      </c>
      <c r="I338" s="30">
        <v>7475</v>
      </c>
    </row>
    <row r="339" spans="1:9" s="18" customFormat="1" ht="11.1" hidden="1" customHeight="1" outlineLevel="2" x14ac:dyDescent="0.2">
      <c r="A339" s="108" t="s">
        <v>256</v>
      </c>
      <c r="B339" s="108"/>
      <c r="C339" s="108"/>
      <c r="D339" s="108"/>
      <c r="E339" s="28" t="s">
        <v>147</v>
      </c>
      <c r="F339" s="29">
        <v>5</v>
      </c>
      <c r="G339" s="30">
        <v>24791.67</v>
      </c>
      <c r="H339" s="32">
        <v>4958.33</v>
      </c>
      <c r="I339" s="30">
        <v>29750</v>
      </c>
    </row>
    <row r="340" spans="1:9" s="18" customFormat="1" ht="11.1" hidden="1" customHeight="1" outlineLevel="2" x14ac:dyDescent="0.2">
      <c r="A340" s="108" t="s">
        <v>405</v>
      </c>
      <c r="B340" s="108"/>
      <c r="C340" s="108"/>
      <c r="D340" s="108"/>
      <c r="E340" s="28" t="s">
        <v>147</v>
      </c>
      <c r="F340" s="29">
        <v>10</v>
      </c>
      <c r="G340" s="30">
        <v>18083.330000000002</v>
      </c>
      <c r="H340" s="32">
        <v>3616.67</v>
      </c>
      <c r="I340" s="30">
        <v>21700</v>
      </c>
    </row>
    <row r="341" spans="1:9" s="18" customFormat="1" ht="11.1" hidden="1" customHeight="1" outlineLevel="2" x14ac:dyDescent="0.2">
      <c r="A341" s="108" t="s">
        <v>227</v>
      </c>
      <c r="B341" s="108"/>
      <c r="C341" s="108"/>
      <c r="D341" s="108"/>
      <c r="E341" s="28" t="s">
        <v>147</v>
      </c>
      <c r="F341" s="29">
        <v>15</v>
      </c>
      <c r="G341" s="30">
        <v>3587.5</v>
      </c>
      <c r="H341" s="31">
        <v>717.5</v>
      </c>
      <c r="I341" s="30">
        <v>4305</v>
      </c>
    </row>
    <row r="342" spans="1:9" s="18" customFormat="1" ht="11.1" hidden="1" customHeight="1" outlineLevel="2" x14ac:dyDescent="0.2">
      <c r="A342" s="108" t="s">
        <v>249</v>
      </c>
      <c r="B342" s="108"/>
      <c r="C342" s="108"/>
      <c r="D342" s="108"/>
      <c r="E342" s="28" t="s">
        <v>147</v>
      </c>
      <c r="F342" s="29">
        <v>50</v>
      </c>
      <c r="G342" s="30">
        <v>67437.5</v>
      </c>
      <c r="H342" s="32">
        <v>13487.5</v>
      </c>
      <c r="I342" s="30">
        <v>80925</v>
      </c>
    </row>
    <row r="343" spans="1:9" s="18" customFormat="1" ht="11.1" hidden="1" customHeight="1" outlineLevel="2" x14ac:dyDescent="0.2">
      <c r="A343" s="108" t="s">
        <v>406</v>
      </c>
      <c r="B343" s="108"/>
      <c r="C343" s="108"/>
      <c r="D343" s="108"/>
      <c r="E343" s="28" t="s">
        <v>147</v>
      </c>
      <c r="F343" s="29">
        <v>10</v>
      </c>
      <c r="G343" s="30">
        <v>9916.67</v>
      </c>
      <c r="H343" s="32">
        <v>1983.33</v>
      </c>
      <c r="I343" s="30">
        <v>11900</v>
      </c>
    </row>
    <row r="344" spans="1:9" s="18" customFormat="1" ht="11.1" hidden="1" customHeight="1" outlineLevel="2" x14ac:dyDescent="0.2">
      <c r="A344" s="108" t="s">
        <v>407</v>
      </c>
      <c r="B344" s="108"/>
      <c r="C344" s="108"/>
      <c r="D344" s="108"/>
      <c r="E344" s="28" t="s">
        <v>147</v>
      </c>
      <c r="F344" s="29">
        <v>3</v>
      </c>
      <c r="G344" s="44">
        <v>350</v>
      </c>
      <c r="H344" s="31">
        <v>70</v>
      </c>
      <c r="I344" s="44">
        <v>420</v>
      </c>
    </row>
    <row r="345" spans="1:9" s="18" customFormat="1" ht="11.1" hidden="1" customHeight="1" outlineLevel="2" x14ac:dyDescent="0.2">
      <c r="A345" s="108" t="s">
        <v>306</v>
      </c>
      <c r="B345" s="108"/>
      <c r="C345" s="108"/>
      <c r="D345" s="108"/>
      <c r="E345" s="28" t="s">
        <v>147</v>
      </c>
      <c r="F345" s="29">
        <v>28</v>
      </c>
      <c r="G345" s="30">
        <v>21233.33</v>
      </c>
      <c r="H345" s="32">
        <v>4246.67</v>
      </c>
      <c r="I345" s="30">
        <v>25480</v>
      </c>
    </row>
    <row r="346" spans="1:9" s="18" customFormat="1" ht="11.1" hidden="1" customHeight="1" outlineLevel="2" x14ac:dyDescent="0.2">
      <c r="A346" s="108" t="s">
        <v>408</v>
      </c>
      <c r="B346" s="108"/>
      <c r="C346" s="108"/>
      <c r="D346" s="108"/>
      <c r="E346" s="28" t="s">
        <v>147</v>
      </c>
      <c r="F346" s="29">
        <v>1</v>
      </c>
      <c r="G346" s="30">
        <v>5366.67</v>
      </c>
      <c r="H346" s="32">
        <v>1073.33</v>
      </c>
      <c r="I346" s="30">
        <v>6440</v>
      </c>
    </row>
    <row r="347" spans="1:9" s="18" customFormat="1" ht="11.1" hidden="1" customHeight="1" outlineLevel="2" x14ac:dyDescent="0.2">
      <c r="A347" s="108" t="s">
        <v>315</v>
      </c>
      <c r="B347" s="108"/>
      <c r="C347" s="108"/>
      <c r="D347" s="108"/>
      <c r="E347" s="28" t="s">
        <v>147</v>
      </c>
      <c r="F347" s="29">
        <v>10</v>
      </c>
      <c r="G347" s="30">
        <v>8937.5</v>
      </c>
      <c r="H347" s="32">
        <v>1787.5</v>
      </c>
      <c r="I347" s="30">
        <v>10725</v>
      </c>
    </row>
    <row r="348" spans="1:9" s="18" customFormat="1" ht="11.1" hidden="1" customHeight="1" outlineLevel="2" x14ac:dyDescent="0.2">
      <c r="A348" s="108" t="s">
        <v>409</v>
      </c>
      <c r="B348" s="108"/>
      <c r="C348" s="108"/>
      <c r="D348" s="108"/>
      <c r="E348" s="28" t="s">
        <v>147</v>
      </c>
      <c r="F348" s="29">
        <v>3</v>
      </c>
      <c r="G348" s="30">
        <v>4287.5</v>
      </c>
      <c r="H348" s="31">
        <v>857.5</v>
      </c>
      <c r="I348" s="30">
        <v>5145</v>
      </c>
    </row>
    <row r="349" spans="1:9" s="18" customFormat="1" ht="11.1" hidden="1" customHeight="1" outlineLevel="2" x14ac:dyDescent="0.2">
      <c r="A349" s="108" t="s">
        <v>410</v>
      </c>
      <c r="B349" s="108"/>
      <c r="C349" s="108"/>
      <c r="D349" s="108"/>
      <c r="E349" s="28" t="s">
        <v>147</v>
      </c>
      <c r="F349" s="29">
        <v>6</v>
      </c>
      <c r="G349" s="30">
        <v>7150</v>
      </c>
      <c r="H349" s="32">
        <v>1430</v>
      </c>
      <c r="I349" s="30">
        <v>8580</v>
      </c>
    </row>
    <row r="350" spans="1:9" s="18" customFormat="1" ht="11.1" hidden="1" customHeight="1" outlineLevel="2" x14ac:dyDescent="0.2">
      <c r="A350" s="108" t="s">
        <v>411</v>
      </c>
      <c r="B350" s="108"/>
      <c r="C350" s="108"/>
      <c r="D350" s="108"/>
      <c r="E350" s="28" t="s">
        <v>147</v>
      </c>
      <c r="F350" s="29">
        <v>1</v>
      </c>
      <c r="G350" s="30">
        <v>3091.67</v>
      </c>
      <c r="H350" s="31">
        <v>618.33000000000004</v>
      </c>
      <c r="I350" s="30">
        <v>3710</v>
      </c>
    </row>
    <row r="351" spans="1:9" s="18" customFormat="1" ht="11.1" hidden="1" customHeight="1" outlineLevel="2" x14ac:dyDescent="0.2">
      <c r="A351" s="108" t="s">
        <v>412</v>
      </c>
      <c r="B351" s="108"/>
      <c r="C351" s="108"/>
      <c r="D351" s="108"/>
      <c r="E351" s="28" t="s">
        <v>147</v>
      </c>
      <c r="F351" s="29">
        <v>1</v>
      </c>
      <c r="G351" s="30">
        <v>2816.67</v>
      </c>
      <c r="H351" s="31">
        <v>563.33000000000004</v>
      </c>
      <c r="I351" s="30">
        <v>3380</v>
      </c>
    </row>
    <row r="352" spans="1:9" s="18" customFormat="1" ht="11.1" hidden="1" customHeight="1" outlineLevel="2" x14ac:dyDescent="0.2">
      <c r="A352" s="108" t="s">
        <v>413</v>
      </c>
      <c r="B352" s="108"/>
      <c r="C352" s="108"/>
      <c r="D352" s="108"/>
      <c r="E352" s="28" t="s">
        <v>147</v>
      </c>
      <c r="F352" s="29">
        <v>3</v>
      </c>
      <c r="G352" s="30">
        <v>41650</v>
      </c>
      <c r="H352" s="32">
        <v>8330</v>
      </c>
      <c r="I352" s="30">
        <v>49980</v>
      </c>
    </row>
    <row r="353" spans="1:9" s="18" customFormat="1" ht="11.1" hidden="1" customHeight="1" outlineLevel="2" x14ac:dyDescent="0.2">
      <c r="A353" s="108" t="s">
        <v>413</v>
      </c>
      <c r="B353" s="108"/>
      <c r="C353" s="108"/>
      <c r="D353" s="108"/>
      <c r="E353" s="28" t="s">
        <v>147</v>
      </c>
      <c r="F353" s="29">
        <v>3</v>
      </c>
      <c r="G353" s="30">
        <v>41650</v>
      </c>
      <c r="H353" s="32">
        <v>8330</v>
      </c>
      <c r="I353" s="30">
        <v>49980</v>
      </c>
    </row>
    <row r="354" spans="1:9" s="18" customFormat="1" ht="11.1" hidden="1" customHeight="1" outlineLevel="2" x14ac:dyDescent="0.2">
      <c r="A354" s="108" t="s">
        <v>328</v>
      </c>
      <c r="B354" s="108"/>
      <c r="C354" s="108"/>
      <c r="D354" s="108"/>
      <c r="E354" s="28" t="s">
        <v>147</v>
      </c>
      <c r="F354" s="29">
        <v>1</v>
      </c>
      <c r="G354" s="30">
        <v>4695.84</v>
      </c>
      <c r="H354" s="31">
        <v>939.16</v>
      </c>
      <c r="I354" s="30">
        <v>5635</v>
      </c>
    </row>
    <row r="355" spans="1:9" s="18" customFormat="1" ht="11.1" hidden="1" customHeight="1" outlineLevel="2" x14ac:dyDescent="0.2">
      <c r="A355" s="108" t="s">
        <v>328</v>
      </c>
      <c r="B355" s="108"/>
      <c r="C355" s="108"/>
      <c r="D355" s="108"/>
      <c r="E355" s="28" t="s">
        <v>147</v>
      </c>
      <c r="F355" s="29">
        <v>1</v>
      </c>
      <c r="G355" s="30">
        <v>4695.83</v>
      </c>
      <c r="H355" s="31">
        <v>939.17</v>
      </c>
      <c r="I355" s="30">
        <v>5635</v>
      </c>
    </row>
    <row r="356" spans="1:9" s="18" customFormat="1" ht="11.1" hidden="1" customHeight="1" outlineLevel="2" x14ac:dyDescent="0.2">
      <c r="A356" s="108" t="s">
        <v>244</v>
      </c>
      <c r="B356" s="108"/>
      <c r="C356" s="108"/>
      <c r="D356" s="108"/>
      <c r="E356" s="28" t="s">
        <v>147</v>
      </c>
      <c r="F356" s="29">
        <v>15</v>
      </c>
      <c r="G356" s="30">
        <v>3500</v>
      </c>
      <c r="H356" s="31">
        <v>700</v>
      </c>
      <c r="I356" s="30">
        <v>4200</v>
      </c>
    </row>
    <row r="357" spans="1:9" s="18" customFormat="1" ht="11.1" hidden="1" customHeight="1" outlineLevel="2" x14ac:dyDescent="0.2">
      <c r="A357" s="108" t="s">
        <v>414</v>
      </c>
      <c r="B357" s="108"/>
      <c r="C357" s="108"/>
      <c r="D357" s="108"/>
      <c r="E357" s="28" t="s">
        <v>147</v>
      </c>
      <c r="F357" s="29">
        <v>10</v>
      </c>
      <c r="G357" s="30">
        <v>9750</v>
      </c>
      <c r="H357" s="32">
        <v>1950</v>
      </c>
      <c r="I357" s="30">
        <v>11700</v>
      </c>
    </row>
    <row r="358" spans="1:9" s="18" customFormat="1" ht="11.1" hidden="1" customHeight="1" outlineLevel="2" x14ac:dyDescent="0.2">
      <c r="A358" s="108" t="s">
        <v>295</v>
      </c>
      <c r="B358" s="108"/>
      <c r="C358" s="108"/>
      <c r="D358" s="108"/>
      <c r="E358" s="28" t="s">
        <v>147</v>
      </c>
      <c r="F358" s="29">
        <v>6</v>
      </c>
      <c r="G358" s="30">
        <v>10887.5</v>
      </c>
      <c r="H358" s="32">
        <v>2177.5</v>
      </c>
      <c r="I358" s="30">
        <v>13065</v>
      </c>
    </row>
    <row r="359" spans="1:9" s="18" customFormat="1" ht="11.1" hidden="1" customHeight="1" outlineLevel="2" x14ac:dyDescent="0.2">
      <c r="A359" s="108" t="s">
        <v>330</v>
      </c>
      <c r="B359" s="108"/>
      <c r="C359" s="108"/>
      <c r="D359" s="108"/>
      <c r="E359" s="28" t="s">
        <v>147</v>
      </c>
      <c r="F359" s="29">
        <v>30</v>
      </c>
      <c r="G359" s="30">
        <v>46312.5</v>
      </c>
      <c r="H359" s="32">
        <v>9262.5</v>
      </c>
      <c r="I359" s="30">
        <v>55575</v>
      </c>
    </row>
    <row r="360" spans="1:9" s="18" customFormat="1" ht="11.1" hidden="1" customHeight="1" outlineLevel="2" x14ac:dyDescent="0.2">
      <c r="A360" s="108" t="s">
        <v>415</v>
      </c>
      <c r="B360" s="108"/>
      <c r="C360" s="108"/>
      <c r="D360" s="108"/>
      <c r="E360" s="28" t="s">
        <v>147</v>
      </c>
      <c r="F360" s="29">
        <v>3</v>
      </c>
      <c r="G360" s="44">
        <v>420</v>
      </c>
      <c r="H360" s="31">
        <v>84</v>
      </c>
      <c r="I360" s="44">
        <v>504</v>
      </c>
    </row>
    <row r="361" spans="1:9" s="18" customFormat="1" ht="11.1" hidden="1" customHeight="1" outlineLevel="2" x14ac:dyDescent="0.2">
      <c r="A361" s="108" t="s">
        <v>416</v>
      </c>
      <c r="B361" s="108"/>
      <c r="C361" s="108"/>
      <c r="D361" s="108"/>
      <c r="E361" s="28" t="s">
        <v>147</v>
      </c>
      <c r="F361" s="29">
        <v>16</v>
      </c>
      <c r="G361" s="30">
        <v>19133.330000000002</v>
      </c>
      <c r="H361" s="32">
        <v>3826.67</v>
      </c>
      <c r="I361" s="30">
        <v>22960</v>
      </c>
    </row>
    <row r="362" spans="1:9" s="18" customFormat="1" ht="11.1" hidden="1" customHeight="1" outlineLevel="2" x14ac:dyDescent="0.2">
      <c r="A362" s="108" t="s">
        <v>417</v>
      </c>
      <c r="B362" s="108"/>
      <c r="C362" s="108"/>
      <c r="D362" s="108"/>
      <c r="E362" s="28" t="s">
        <v>147</v>
      </c>
      <c r="F362" s="29">
        <v>4</v>
      </c>
      <c r="G362" s="30">
        <v>9533.33</v>
      </c>
      <c r="H362" s="32">
        <v>1906.67</v>
      </c>
      <c r="I362" s="30">
        <v>11440</v>
      </c>
    </row>
    <row r="363" spans="1:9" s="18" customFormat="1" ht="11.1" hidden="1" customHeight="1" outlineLevel="2" x14ac:dyDescent="0.2">
      <c r="A363" s="108" t="s">
        <v>409</v>
      </c>
      <c r="B363" s="108"/>
      <c r="C363" s="108"/>
      <c r="D363" s="108"/>
      <c r="E363" s="28" t="s">
        <v>147</v>
      </c>
      <c r="F363" s="29">
        <v>6</v>
      </c>
      <c r="G363" s="30">
        <v>8575</v>
      </c>
      <c r="H363" s="32">
        <v>1715</v>
      </c>
      <c r="I363" s="30">
        <v>10290</v>
      </c>
    </row>
    <row r="364" spans="1:9" s="18" customFormat="1" ht="11.1" hidden="1" customHeight="1" outlineLevel="2" x14ac:dyDescent="0.2">
      <c r="A364" s="108" t="s">
        <v>418</v>
      </c>
      <c r="B364" s="108"/>
      <c r="C364" s="108"/>
      <c r="D364" s="108"/>
      <c r="E364" s="28" t="s">
        <v>147</v>
      </c>
      <c r="F364" s="29">
        <v>8</v>
      </c>
      <c r="G364" s="30">
        <v>19366.669999999998</v>
      </c>
      <c r="H364" s="32">
        <v>3873.33</v>
      </c>
      <c r="I364" s="30">
        <v>23240</v>
      </c>
    </row>
    <row r="365" spans="1:9" s="18" customFormat="1" ht="11.1" hidden="1" customHeight="1" outlineLevel="2" x14ac:dyDescent="0.2">
      <c r="A365" s="108" t="s">
        <v>418</v>
      </c>
      <c r="B365" s="108"/>
      <c r="C365" s="108"/>
      <c r="D365" s="108"/>
      <c r="E365" s="28" t="s">
        <v>147</v>
      </c>
      <c r="F365" s="29">
        <v>1</v>
      </c>
      <c r="G365" s="30">
        <v>2420.83</v>
      </c>
      <c r="H365" s="31">
        <v>484.17</v>
      </c>
      <c r="I365" s="30">
        <v>2905</v>
      </c>
    </row>
    <row r="366" spans="1:9" s="18" customFormat="1" ht="11.1" hidden="1" customHeight="1" outlineLevel="2" x14ac:dyDescent="0.2">
      <c r="A366" s="108" t="s">
        <v>231</v>
      </c>
      <c r="B366" s="108"/>
      <c r="C366" s="108"/>
      <c r="D366" s="108"/>
      <c r="E366" s="28" t="s">
        <v>147</v>
      </c>
      <c r="F366" s="29">
        <v>1</v>
      </c>
      <c r="G366" s="30">
        <v>3412.5</v>
      </c>
      <c r="H366" s="31">
        <v>682.5</v>
      </c>
      <c r="I366" s="30">
        <v>4095</v>
      </c>
    </row>
    <row r="367" spans="1:9" s="18" customFormat="1" ht="11.1" hidden="1" customHeight="1" outlineLevel="2" x14ac:dyDescent="0.2">
      <c r="A367" s="108" t="s">
        <v>298</v>
      </c>
      <c r="B367" s="108"/>
      <c r="C367" s="108"/>
      <c r="D367" s="108"/>
      <c r="E367" s="28" t="s">
        <v>147</v>
      </c>
      <c r="F367" s="29">
        <v>18</v>
      </c>
      <c r="G367" s="30">
        <v>26812.5</v>
      </c>
      <c r="H367" s="32">
        <v>5362.5</v>
      </c>
      <c r="I367" s="30">
        <v>32175</v>
      </c>
    </row>
    <row r="368" spans="1:9" s="18" customFormat="1" ht="11.1" hidden="1" customHeight="1" outlineLevel="2" x14ac:dyDescent="0.2">
      <c r="A368" s="108" t="s">
        <v>298</v>
      </c>
      <c r="B368" s="108"/>
      <c r="C368" s="108"/>
      <c r="D368" s="108"/>
      <c r="E368" s="28" t="s">
        <v>147</v>
      </c>
      <c r="F368" s="29">
        <v>22</v>
      </c>
      <c r="G368" s="30">
        <v>32770.83</v>
      </c>
      <c r="H368" s="32">
        <v>6554.17</v>
      </c>
      <c r="I368" s="30">
        <v>39325</v>
      </c>
    </row>
    <row r="369" spans="1:9" s="18" customFormat="1" ht="11.1" hidden="1" customHeight="1" outlineLevel="2" x14ac:dyDescent="0.2">
      <c r="A369" s="108" t="s">
        <v>294</v>
      </c>
      <c r="B369" s="108"/>
      <c r="C369" s="108"/>
      <c r="D369" s="108"/>
      <c r="E369" s="28" t="s">
        <v>147</v>
      </c>
      <c r="F369" s="29">
        <v>14</v>
      </c>
      <c r="G369" s="30">
        <v>120050</v>
      </c>
      <c r="H369" s="32">
        <v>24010</v>
      </c>
      <c r="I369" s="30">
        <v>144060</v>
      </c>
    </row>
    <row r="370" spans="1:9" s="18" customFormat="1" ht="11.1" hidden="1" customHeight="1" outlineLevel="2" x14ac:dyDescent="0.2">
      <c r="A370" s="108" t="s">
        <v>250</v>
      </c>
      <c r="B370" s="108"/>
      <c r="C370" s="108"/>
      <c r="D370" s="108"/>
      <c r="E370" s="28" t="s">
        <v>147</v>
      </c>
      <c r="F370" s="29">
        <v>90</v>
      </c>
      <c r="G370" s="30">
        <v>23625</v>
      </c>
      <c r="H370" s="32">
        <v>4725</v>
      </c>
      <c r="I370" s="30">
        <v>28350</v>
      </c>
    </row>
    <row r="371" spans="1:9" s="18" customFormat="1" ht="11.1" hidden="1" customHeight="1" outlineLevel="2" x14ac:dyDescent="0.2">
      <c r="A371" s="108" t="s">
        <v>292</v>
      </c>
      <c r="B371" s="108"/>
      <c r="C371" s="108"/>
      <c r="D371" s="108"/>
      <c r="E371" s="28" t="s">
        <v>147</v>
      </c>
      <c r="F371" s="29">
        <v>10</v>
      </c>
      <c r="G371" s="30">
        <v>14291.67</v>
      </c>
      <c r="H371" s="32">
        <v>2858.33</v>
      </c>
      <c r="I371" s="30">
        <v>17150</v>
      </c>
    </row>
    <row r="372" spans="1:9" s="18" customFormat="1" ht="11.1" hidden="1" customHeight="1" outlineLevel="2" x14ac:dyDescent="0.2">
      <c r="A372" s="108" t="s">
        <v>226</v>
      </c>
      <c r="B372" s="108"/>
      <c r="C372" s="108"/>
      <c r="D372" s="108"/>
      <c r="E372" s="28" t="s">
        <v>147</v>
      </c>
      <c r="F372" s="29">
        <v>2</v>
      </c>
      <c r="G372" s="30">
        <v>3791.67</v>
      </c>
      <c r="H372" s="31">
        <v>758.33</v>
      </c>
      <c r="I372" s="30">
        <v>4550</v>
      </c>
    </row>
    <row r="373" spans="1:9" s="18" customFormat="1" ht="11.1" hidden="1" customHeight="1" outlineLevel="2" x14ac:dyDescent="0.2">
      <c r="A373" s="108" t="s">
        <v>226</v>
      </c>
      <c r="B373" s="108"/>
      <c r="C373" s="108"/>
      <c r="D373" s="108"/>
      <c r="E373" s="28" t="s">
        <v>147</v>
      </c>
      <c r="F373" s="29">
        <v>3</v>
      </c>
      <c r="G373" s="30">
        <v>5687.5</v>
      </c>
      <c r="H373" s="32">
        <v>1137.5</v>
      </c>
      <c r="I373" s="30">
        <v>6825</v>
      </c>
    </row>
    <row r="374" spans="1:9" s="18" customFormat="1" ht="11.1" hidden="1" customHeight="1" outlineLevel="2" x14ac:dyDescent="0.2">
      <c r="A374" s="108" t="s">
        <v>225</v>
      </c>
      <c r="B374" s="108"/>
      <c r="C374" s="108"/>
      <c r="D374" s="108"/>
      <c r="E374" s="28" t="s">
        <v>147</v>
      </c>
      <c r="F374" s="29">
        <v>5</v>
      </c>
      <c r="G374" s="30">
        <v>7437.5</v>
      </c>
      <c r="H374" s="32">
        <v>1487.5</v>
      </c>
      <c r="I374" s="30">
        <v>8925</v>
      </c>
    </row>
    <row r="375" spans="1:9" s="18" customFormat="1" ht="11.1" hidden="1" customHeight="1" outlineLevel="2" x14ac:dyDescent="0.2">
      <c r="A375" s="108" t="s">
        <v>260</v>
      </c>
      <c r="B375" s="108"/>
      <c r="C375" s="108"/>
      <c r="D375" s="108"/>
      <c r="E375" s="28" t="s">
        <v>147</v>
      </c>
      <c r="F375" s="29">
        <v>10</v>
      </c>
      <c r="G375" s="30">
        <v>27125</v>
      </c>
      <c r="H375" s="32">
        <v>5425</v>
      </c>
      <c r="I375" s="30">
        <v>32550</v>
      </c>
    </row>
    <row r="376" spans="1:9" s="18" customFormat="1" ht="11.1" hidden="1" customHeight="1" outlineLevel="2" x14ac:dyDescent="0.2">
      <c r="A376" s="108" t="s">
        <v>333</v>
      </c>
      <c r="B376" s="108"/>
      <c r="C376" s="108"/>
      <c r="D376" s="108"/>
      <c r="E376" s="28" t="s">
        <v>147</v>
      </c>
      <c r="F376" s="29">
        <v>40</v>
      </c>
      <c r="G376" s="30">
        <v>91000</v>
      </c>
      <c r="H376" s="32">
        <v>18200</v>
      </c>
      <c r="I376" s="30">
        <v>109200</v>
      </c>
    </row>
    <row r="377" spans="1:9" s="18" customFormat="1" ht="11.1" hidden="1" customHeight="1" outlineLevel="2" x14ac:dyDescent="0.2">
      <c r="A377" s="108" t="s">
        <v>264</v>
      </c>
      <c r="B377" s="108"/>
      <c r="C377" s="108"/>
      <c r="D377" s="108"/>
      <c r="E377" s="28" t="s">
        <v>147</v>
      </c>
      <c r="F377" s="29">
        <v>30</v>
      </c>
      <c r="G377" s="30">
        <v>72312.5</v>
      </c>
      <c r="H377" s="32">
        <v>14462.5</v>
      </c>
      <c r="I377" s="30">
        <v>86775</v>
      </c>
    </row>
    <row r="378" spans="1:9" s="18" customFormat="1" ht="11.1" hidden="1" customHeight="1" outlineLevel="2" x14ac:dyDescent="0.2">
      <c r="A378" s="108" t="s">
        <v>419</v>
      </c>
      <c r="B378" s="108"/>
      <c r="C378" s="108"/>
      <c r="D378" s="108"/>
      <c r="E378" s="28" t="s">
        <v>147</v>
      </c>
      <c r="F378" s="29">
        <v>10</v>
      </c>
      <c r="G378" s="30">
        <v>27029.17</v>
      </c>
      <c r="H378" s="32">
        <v>5405.83</v>
      </c>
      <c r="I378" s="30">
        <v>32435</v>
      </c>
    </row>
    <row r="379" spans="1:9" s="18" customFormat="1" ht="11.1" hidden="1" customHeight="1" outlineLevel="2" collapsed="1" x14ac:dyDescent="0.2">
      <c r="A379" s="108" t="s">
        <v>329</v>
      </c>
      <c r="B379" s="108"/>
      <c r="C379" s="108"/>
      <c r="D379" s="108"/>
      <c r="E379" s="28" t="s">
        <v>147</v>
      </c>
      <c r="F379" s="29">
        <v>20</v>
      </c>
      <c r="G379" s="30">
        <v>58333.33</v>
      </c>
      <c r="H379" s="32">
        <v>11666.67</v>
      </c>
      <c r="I379" s="30">
        <v>70000</v>
      </c>
    </row>
    <row r="380" spans="1:9" s="18" customFormat="1" ht="11.1" hidden="1" customHeight="1" outlineLevel="1" collapsed="1" x14ac:dyDescent="0.2">
      <c r="A380" s="107" t="s">
        <v>420</v>
      </c>
      <c r="B380" s="107"/>
      <c r="C380" s="107"/>
      <c r="D380" s="107"/>
      <c r="E380" s="107"/>
      <c r="F380" s="25">
        <v>20</v>
      </c>
      <c r="G380" s="39">
        <v>358213.5</v>
      </c>
      <c r="H380" s="40">
        <v>71642.7</v>
      </c>
      <c r="I380" s="39">
        <v>429856.2</v>
      </c>
    </row>
    <row r="381" spans="1:9" s="18" customFormat="1" ht="11.1" hidden="1" customHeight="1" outlineLevel="2" x14ac:dyDescent="0.2">
      <c r="A381" s="108" t="s">
        <v>239</v>
      </c>
      <c r="B381" s="108"/>
      <c r="C381" s="108"/>
      <c r="D381" s="108"/>
      <c r="E381" s="28" t="s">
        <v>147</v>
      </c>
      <c r="F381" s="29">
        <v>19</v>
      </c>
      <c r="G381" s="30">
        <v>310222.5</v>
      </c>
      <c r="H381" s="32">
        <v>62044.5</v>
      </c>
      <c r="I381" s="30">
        <v>372267</v>
      </c>
    </row>
    <row r="382" spans="1:9" s="18" customFormat="1" ht="11.1" hidden="1" customHeight="1" outlineLevel="2" collapsed="1" x14ac:dyDescent="0.2">
      <c r="A382" s="108" t="s">
        <v>421</v>
      </c>
      <c r="B382" s="108"/>
      <c r="C382" s="108"/>
      <c r="D382" s="108"/>
      <c r="E382" s="28" t="s">
        <v>147</v>
      </c>
      <c r="F382" s="29">
        <v>1</v>
      </c>
      <c r="G382" s="30">
        <v>47991</v>
      </c>
      <c r="H382" s="32">
        <v>9598.2000000000007</v>
      </c>
      <c r="I382" s="30">
        <v>57589.2</v>
      </c>
    </row>
    <row r="383" spans="1:9" s="18" customFormat="1" ht="11.1" hidden="1" customHeight="1" outlineLevel="1" collapsed="1" x14ac:dyDescent="0.2">
      <c r="A383" s="107" t="s">
        <v>422</v>
      </c>
      <c r="B383" s="107"/>
      <c r="C383" s="107"/>
      <c r="D383" s="107"/>
      <c r="E383" s="107"/>
      <c r="F383" s="25">
        <v>90</v>
      </c>
      <c r="G383" s="26">
        <v>6008270.5099999998</v>
      </c>
      <c r="H383" s="27">
        <v>1201654.0900000001</v>
      </c>
      <c r="I383" s="39">
        <v>7209924.5999999996</v>
      </c>
    </row>
    <row r="384" spans="1:9" s="18" customFormat="1" ht="11.1" hidden="1" customHeight="1" outlineLevel="2" x14ac:dyDescent="0.2">
      <c r="A384" s="108" t="s">
        <v>272</v>
      </c>
      <c r="B384" s="108"/>
      <c r="C384" s="108"/>
      <c r="D384" s="108"/>
      <c r="E384" s="28" t="s">
        <v>147</v>
      </c>
      <c r="F384" s="29">
        <v>2</v>
      </c>
      <c r="G384" s="30">
        <v>284353.33</v>
      </c>
      <c r="H384" s="32">
        <v>56870.67</v>
      </c>
      <c r="I384" s="30">
        <v>341224</v>
      </c>
    </row>
    <row r="385" spans="1:9" s="18" customFormat="1" ht="11.1" hidden="1" customHeight="1" outlineLevel="2" x14ac:dyDescent="0.2">
      <c r="A385" s="108" t="s">
        <v>352</v>
      </c>
      <c r="B385" s="108"/>
      <c r="C385" s="108"/>
      <c r="D385" s="108"/>
      <c r="E385" s="28" t="s">
        <v>147</v>
      </c>
      <c r="F385" s="29">
        <v>11</v>
      </c>
      <c r="G385" s="30">
        <v>1347023.33</v>
      </c>
      <c r="H385" s="32">
        <v>269404.67</v>
      </c>
      <c r="I385" s="30">
        <v>1616428</v>
      </c>
    </row>
    <row r="386" spans="1:9" s="18" customFormat="1" ht="11.1" hidden="1" customHeight="1" outlineLevel="2" x14ac:dyDescent="0.2">
      <c r="A386" s="108" t="s">
        <v>423</v>
      </c>
      <c r="B386" s="108"/>
      <c r="C386" s="108"/>
      <c r="D386" s="108"/>
      <c r="E386" s="28" t="s">
        <v>147</v>
      </c>
      <c r="F386" s="29">
        <v>1</v>
      </c>
      <c r="G386" s="30">
        <v>48557.67</v>
      </c>
      <c r="H386" s="32">
        <v>9711.5300000000007</v>
      </c>
      <c r="I386" s="30">
        <v>58269.2</v>
      </c>
    </row>
    <row r="387" spans="1:9" s="18" customFormat="1" ht="11.1" hidden="1" customHeight="1" outlineLevel="2" x14ac:dyDescent="0.2">
      <c r="A387" s="108" t="s">
        <v>350</v>
      </c>
      <c r="B387" s="108"/>
      <c r="C387" s="108"/>
      <c r="D387" s="108"/>
      <c r="E387" s="28" t="s">
        <v>147</v>
      </c>
      <c r="F387" s="29">
        <v>16</v>
      </c>
      <c r="G387" s="30">
        <v>307906.67</v>
      </c>
      <c r="H387" s="32">
        <v>61581.33</v>
      </c>
      <c r="I387" s="30">
        <v>369488</v>
      </c>
    </row>
    <row r="388" spans="1:9" s="18" customFormat="1" ht="11.1" hidden="1" customHeight="1" outlineLevel="2" x14ac:dyDescent="0.2">
      <c r="A388" s="108" t="s">
        <v>235</v>
      </c>
      <c r="B388" s="108"/>
      <c r="C388" s="108"/>
      <c r="D388" s="108"/>
      <c r="E388" s="28" t="s">
        <v>147</v>
      </c>
      <c r="F388" s="29">
        <v>2</v>
      </c>
      <c r="G388" s="30">
        <v>158666.67000000001</v>
      </c>
      <c r="H388" s="32">
        <v>31733.33</v>
      </c>
      <c r="I388" s="30">
        <v>190400</v>
      </c>
    </row>
    <row r="389" spans="1:9" s="18" customFormat="1" ht="11.1" hidden="1" customHeight="1" outlineLevel="2" x14ac:dyDescent="0.2">
      <c r="A389" s="108" t="s">
        <v>255</v>
      </c>
      <c r="B389" s="108"/>
      <c r="C389" s="108"/>
      <c r="D389" s="108"/>
      <c r="E389" s="28" t="s">
        <v>147</v>
      </c>
      <c r="F389" s="29">
        <v>1</v>
      </c>
      <c r="G389" s="30">
        <v>250580</v>
      </c>
      <c r="H389" s="32">
        <v>50116</v>
      </c>
      <c r="I389" s="30">
        <v>300696</v>
      </c>
    </row>
    <row r="390" spans="1:9" s="18" customFormat="1" ht="21.95" hidden="1" customHeight="1" outlineLevel="2" x14ac:dyDescent="0.2">
      <c r="A390" s="108" t="s">
        <v>424</v>
      </c>
      <c r="B390" s="108"/>
      <c r="C390" s="108"/>
      <c r="D390" s="108"/>
      <c r="E390" s="28" t="s">
        <v>147</v>
      </c>
      <c r="F390" s="29">
        <v>1</v>
      </c>
      <c r="G390" s="30">
        <v>866000</v>
      </c>
      <c r="H390" s="32">
        <v>173200</v>
      </c>
      <c r="I390" s="30">
        <v>1039200</v>
      </c>
    </row>
    <row r="391" spans="1:9" s="18" customFormat="1" ht="11.1" hidden="1" customHeight="1" outlineLevel="2" x14ac:dyDescent="0.2">
      <c r="A391" s="108" t="s">
        <v>425</v>
      </c>
      <c r="B391" s="108"/>
      <c r="C391" s="108"/>
      <c r="D391" s="108"/>
      <c r="E391" s="28" t="s">
        <v>147</v>
      </c>
      <c r="F391" s="29">
        <v>6</v>
      </c>
      <c r="G391" s="30">
        <v>24465</v>
      </c>
      <c r="H391" s="32">
        <v>4893</v>
      </c>
      <c r="I391" s="30">
        <v>29358</v>
      </c>
    </row>
    <row r="392" spans="1:9" s="18" customFormat="1" ht="11.1" hidden="1" customHeight="1" outlineLevel="2" x14ac:dyDescent="0.2">
      <c r="A392" s="108" t="s">
        <v>426</v>
      </c>
      <c r="B392" s="108"/>
      <c r="C392" s="108"/>
      <c r="D392" s="108"/>
      <c r="E392" s="28" t="s">
        <v>147</v>
      </c>
      <c r="F392" s="29">
        <v>1</v>
      </c>
      <c r="G392" s="30">
        <v>455316.67</v>
      </c>
      <c r="H392" s="32">
        <v>91063.33</v>
      </c>
      <c r="I392" s="30">
        <v>546380</v>
      </c>
    </row>
    <row r="393" spans="1:9" s="18" customFormat="1" ht="11.1" hidden="1" customHeight="1" outlineLevel="2" x14ac:dyDescent="0.2">
      <c r="A393" s="108" t="s">
        <v>426</v>
      </c>
      <c r="B393" s="108"/>
      <c r="C393" s="108"/>
      <c r="D393" s="108"/>
      <c r="E393" s="28" t="s">
        <v>147</v>
      </c>
      <c r="F393" s="29">
        <v>1</v>
      </c>
      <c r="G393" s="30">
        <v>455316.66</v>
      </c>
      <c r="H393" s="32">
        <v>91063.34</v>
      </c>
      <c r="I393" s="30">
        <v>546380</v>
      </c>
    </row>
    <row r="394" spans="1:9" s="18" customFormat="1" ht="11.1" hidden="1" customHeight="1" outlineLevel="2" x14ac:dyDescent="0.2">
      <c r="A394" s="108" t="s">
        <v>233</v>
      </c>
      <c r="B394" s="108"/>
      <c r="C394" s="108"/>
      <c r="D394" s="108"/>
      <c r="E394" s="28" t="s">
        <v>147</v>
      </c>
      <c r="F394" s="29">
        <v>4</v>
      </c>
      <c r="G394" s="30">
        <v>804666.67</v>
      </c>
      <c r="H394" s="32">
        <v>160933.32999999999</v>
      </c>
      <c r="I394" s="30">
        <v>965600</v>
      </c>
    </row>
    <row r="395" spans="1:9" s="18" customFormat="1" ht="11.1" hidden="1" customHeight="1" outlineLevel="2" x14ac:dyDescent="0.2">
      <c r="A395" s="108" t="s">
        <v>346</v>
      </c>
      <c r="B395" s="108"/>
      <c r="C395" s="108"/>
      <c r="D395" s="108"/>
      <c r="E395" s="28" t="s">
        <v>147</v>
      </c>
      <c r="F395" s="29">
        <v>1</v>
      </c>
      <c r="G395" s="30">
        <v>164276.67000000001</v>
      </c>
      <c r="H395" s="32">
        <v>32855.33</v>
      </c>
      <c r="I395" s="30">
        <v>197132</v>
      </c>
    </row>
    <row r="396" spans="1:9" s="18" customFormat="1" ht="11.1" hidden="1" customHeight="1" outlineLevel="2" x14ac:dyDescent="0.2">
      <c r="A396" s="108" t="s">
        <v>239</v>
      </c>
      <c r="B396" s="108"/>
      <c r="C396" s="108"/>
      <c r="D396" s="108"/>
      <c r="E396" s="28" t="s">
        <v>147</v>
      </c>
      <c r="F396" s="29">
        <v>20</v>
      </c>
      <c r="G396" s="30">
        <v>326550</v>
      </c>
      <c r="H396" s="32">
        <v>65310</v>
      </c>
      <c r="I396" s="30">
        <v>391860</v>
      </c>
    </row>
    <row r="397" spans="1:9" s="18" customFormat="1" ht="11.1" hidden="1" customHeight="1" outlineLevel="2" x14ac:dyDescent="0.2">
      <c r="A397" s="108" t="s">
        <v>427</v>
      </c>
      <c r="B397" s="108"/>
      <c r="C397" s="108"/>
      <c r="D397" s="108"/>
      <c r="E397" s="28" t="s">
        <v>147</v>
      </c>
      <c r="F397" s="29">
        <v>2</v>
      </c>
      <c r="G397" s="30">
        <v>81588.67</v>
      </c>
      <c r="H397" s="32">
        <v>16317.73</v>
      </c>
      <c r="I397" s="30">
        <v>97906.4</v>
      </c>
    </row>
    <row r="398" spans="1:9" s="18" customFormat="1" ht="11.1" hidden="1" customHeight="1" outlineLevel="2" x14ac:dyDescent="0.2">
      <c r="A398" s="108" t="s">
        <v>348</v>
      </c>
      <c r="B398" s="108"/>
      <c r="C398" s="108"/>
      <c r="D398" s="108"/>
      <c r="E398" s="28" t="s">
        <v>147</v>
      </c>
      <c r="F398" s="29">
        <v>6</v>
      </c>
      <c r="G398" s="30">
        <v>174965</v>
      </c>
      <c r="H398" s="32">
        <v>34993</v>
      </c>
      <c r="I398" s="30">
        <v>209958</v>
      </c>
    </row>
    <row r="399" spans="1:9" s="18" customFormat="1" ht="11.1" hidden="1" customHeight="1" outlineLevel="2" collapsed="1" x14ac:dyDescent="0.2">
      <c r="A399" s="108" t="s">
        <v>347</v>
      </c>
      <c r="B399" s="108"/>
      <c r="C399" s="108"/>
      <c r="D399" s="108"/>
      <c r="E399" s="28" t="s">
        <v>147</v>
      </c>
      <c r="F399" s="29">
        <v>15</v>
      </c>
      <c r="G399" s="30">
        <v>258037.5</v>
      </c>
      <c r="H399" s="32">
        <v>51607.5</v>
      </c>
      <c r="I399" s="30">
        <v>309645</v>
      </c>
    </row>
    <row r="400" spans="1:9" s="18" customFormat="1" ht="11.1" hidden="1" customHeight="1" outlineLevel="1" collapsed="1" x14ac:dyDescent="0.2">
      <c r="A400" s="107" t="s">
        <v>428</v>
      </c>
      <c r="B400" s="107"/>
      <c r="C400" s="107"/>
      <c r="D400" s="107"/>
      <c r="E400" s="107"/>
      <c r="F400" s="25">
        <v>1</v>
      </c>
      <c r="G400" s="34">
        <v>328100</v>
      </c>
      <c r="H400" s="35">
        <v>65620</v>
      </c>
      <c r="I400" s="34">
        <v>393720</v>
      </c>
    </row>
    <row r="401" spans="1:9" s="18" customFormat="1" ht="11.1" hidden="1" customHeight="1" outlineLevel="2" collapsed="1" x14ac:dyDescent="0.2">
      <c r="A401" s="108" t="s">
        <v>429</v>
      </c>
      <c r="B401" s="108"/>
      <c r="C401" s="108"/>
      <c r="D401" s="108"/>
      <c r="E401" s="28" t="s">
        <v>147</v>
      </c>
      <c r="F401" s="29">
        <v>1</v>
      </c>
      <c r="G401" s="30">
        <v>328100</v>
      </c>
      <c r="H401" s="32">
        <v>65620</v>
      </c>
      <c r="I401" s="30">
        <v>393720</v>
      </c>
    </row>
    <row r="402" spans="1:9" s="18" customFormat="1" ht="11.1" hidden="1" customHeight="1" outlineLevel="1" collapsed="1" x14ac:dyDescent="0.2">
      <c r="A402" s="107" t="s">
        <v>430</v>
      </c>
      <c r="B402" s="107"/>
      <c r="C402" s="107"/>
      <c r="D402" s="107"/>
      <c r="E402" s="107"/>
      <c r="F402" s="25">
        <v>2</v>
      </c>
      <c r="G402" s="26">
        <v>472141.67</v>
      </c>
      <c r="H402" s="27">
        <v>94428.33</v>
      </c>
      <c r="I402" s="34">
        <v>566570</v>
      </c>
    </row>
    <row r="403" spans="1:9" s="18" customFormat="1" ht="11.1" hidden="1" customHeight="1" outlineLevel="2" x14ac:dyDescent="0.2">
      <c r="A403" s="108" t="s">
        <v>431</v>
      </c>
      <c r="B403" s="108"/>
      <c r="C403" s="108"/>
      <c r="D403" s="108"/>
      <c r="E403" s="28" t="s">
        <v>147</v>
      </c>
      <c r="F403" s="29">
        <v>1</v>
      </c>
      <c r="G403" s="30">
        <v>7475</v>
      </c>
      <c r="H403" s="32">
        <v>1495</v>
      </c>
      <c r="I403" s="30">
        <v>8970</v>
      </c>
    </row>
    <row r="404" spans="1:9" s="18" customFormat="1" ht="11.1" hidden="1" customHeight="1" outlineLevel="2" collapsed="1" x14ac:dyDescent="0.2">
      <c r="A404" s="108" t="s">
        <v>432</v>
      </c>
      <c r="B404" s="108"/>
      <c r="C404" s="108"/>
      <c r="D404" s="108"/>
      <c r="E404" s="28" t="s">
        <v>147</v>
      </c>
      <c r="F404" s="29">
        <v>1</v>
      </c>
      <c r="G404" s="30">
        <v>464666.67</v>
      </c>
      <c r="H404" s="32">
        <v>92933.33</v>
      </c>
      <c r="I404" s="30">
        <v>557600</v>
      </c>
    </row>
    <row r="405" spans="1:9" s="18" customFormat="1" ht="11.1" hidden="1" customHeight="1" outlineLevel="1" collapsed="1" x14ac:dyDescent="0.2">
      <c r="A405" s="107" t="s">
        <v>433</v>
      </c>
      <c r="B405" s="107"/>
      <c r="C405" s="107"/>
      <c r="D405" s="107"/>
      <c r="E405" s="107"/>
      <c r="F405" s="25">
        <v>264</v>
      </c>
      <c r="G405" s="26">
        <v>7458216.1500000004</v>
      </c>
      <c r="H405" s="27">
        <v>1491643.25</v>
      </c>
      <c r="I405" s="39">
        <v>8949859.4000000004</v>
      </c>
    </row>
    <row r="406" spans="1:9" s="18" customFormat="1" ht="11.1" hidden="1" customHeight="1" outlineLevel="2" x14ac:dyDescent="0.2">
      <c r="A406" s="108" t="s">
        <v>434</v>
      </c>
      <c r="B406" s="108"/>
      <c r="C406" s="108"/>
      <c r="D406" s="108"/>
      <c r="E406" s="28" t="s">
        <v>147</v>
      </c>
      <c r="F406" s="29">
        <v>40</v>
      </c>
      <c r="G406" s="30">
        <v>271720</v>
      </c>
      <c r="H406" s="32">
        <v>54344</v>
      </c>
      <c r="I406" s="30">
        <v>326064</v>
      </c>
    </row>
    <row r="407" spans="1:9" s="18" customFormat="1" ht="11.1" hidden="1" customHeight="1" outlineLevel="2" x14ac:dyDescent="0.2">
      <c r="A407" s="108" t="s">
        <v>435</v>
      </c>
      <c r="B407" s="108"/>
      <c r="C407" s="108"/>
      <c r="D407" s="108"/>
      <c r="E407" s="28" t="s">
        <v>147</v>
      </c>
      <c r="F407" s="29">
        <v>15</v>
      </c>
      <c r="G407" s="30">
        <v>399900</v>
      </c>
      <c r="H407" s="32">
        <v>79980</v>
      </c>
      <c r="I407" s="30">
        <v>479880</v>
      </c>
    </row>
    <row r="408" spans="1:9" s="18" customFormat="1" ht="11.1" hidden="1" customHeight="1" outlineLevel="2" x14ac:dyDescent="0.2">
      <c r="A408" s="108" t="s">
        <v>436</v>
      </c>
      <c r="B408" s="108"/>
      <c r="C408" s="108"/>
      <c r="D408" s="108"/>
      <c r="E408" s="28" t="s">
        <v>147</v>
      </c>
      <c r="F408" s="29">
        <v>3</v>
      </c>
      <c r="G408" s="30">
        <v>217430</v>
      </c>
      <c r="H408" s="32">
        <v>43486</v>
      </c>
      <c r="I408" s="30">
        <v>260916</v>
      </c>
    </row>
    <row r="409" spans="1:9" s="18" customFormat="1" ht="11.1" hidden="1" customHeight="1" outlineLevel="2" x14ac:dyDescent="0.2">
      <c r="A409" s="108" t="s">
        <v>436</v>
      </c>
      <c r="B409" s="108"/>
      <c r="C409" s="108"/>
      <c r="D409" s="108"/>
      <c r="E409" s="28" t="s">
        <v>147</v>
      </c>
      <c r="F409" s="29">
        <v>3</v>
      </c>
      <c r="G409" s="30">
        <v>217430</v>
      </c>
      <c r="H409" s="32">
        <v>43486</v>
      </c>
      <c r="I409" s="30">
        <v>260916</v>
      </c>
    </row>
    <row r="410" spans="1:9" s="18" customFormat="1" ht="11.1" hidden="1" customHeight="1" outlineLevel="2" x14ac:dyDescent="0.2">
      <c r="A410" s="108" t="s">
        <v>437</v>
      </c>
      <c r="B410" s="108"/>
      <c r="C410" s="108"/>
      <c r="D410" s="108"/>
      <c r="E410" s="28" t="s">
        <v>147</v>
      </c>
      <c r="F410" s="29">
        <v>1</v>
      </c>
      <c r="G410" s="30">
        <v>168300</v>
      </c>
      <c r="H410" s="32">
        <v>33660</v>
      </c>
      <c r="I410" s="30">
        <v>201960</v>
      </c>
    </row>
    <row r="411" spans="1:9" s="18" customFormat="1" ht="11.1" hidden="1" customHeight="1" outlineLevel="2" x14ac:dyDescent="0.2">
      <c r="A411" s="108" t="s">
        <v>438</v>
      </c>
      <c r="B411" s="108"/>
      <c r="C411" s="108"/>
      <c r="D411" s="108"/>
      <c r="E411" s="28" t="s">
        <v>147</v>
      </c>
      <c r="F411" s="29">
        <v>2</v>
      </c>
      <c r="G411" s="30">
        <v>42338.33</v>
      </c>
      <c r="H411" s="32">
        <v>8467.67</v>
      </c>
      <c r="I411" s="30">
        <v>50806</v>
      </c>
    </row>
    <row r="412" spans="1:9" s="18" customFormat="1" ht="11.1" hidden="1" customHeight="1" outlineLevel="2" x14ac:dyDescent="0.2">
      <c r="A412" s="108" t="s">
        <v>439</v>
      </c>
      <c r="B412" s="108"/>
      <c r="C412" s="108"/>
      <c r="D412" s="108"/>
      <c r="E412" s="28" t="s">
        <v>147</v>
      </c>
      <c r="F412" s="29">
        <v>8</v>
      </c>
      <c r="G412" s="30">
        <v>41020</v>
      </c>
      <c r="H412" s="32">
        <v>8204</v>
      </c>
      <c r="I412" s="30">
        <v>49224</v>
      </c>
    </row>
    <row r="413" spans="1:9" s="18" customFormat="1" ht="11.1" hidden="1" customHeight="1" outlineLevel="2" x14ac:dyDescent="0.2">
      <c r="A413" s="108" t="s">
        <v>440</v>
      </c>
      <c r="B413" s="108"/>
      <c r="C413" s="108"/>
      <c r="D413" s="108"/>
      <c r="E413" s="28" t="s">
        <v>147</v>
      </c>
      <c r="F413" s="29">
        <v>1</v>
      </c>
      <c r="G413" s="30">
        <v>79220</v>
      </c>
      <c r="H413" s="32">
        <v>15844</v>
      </c>
      <c r="I413" s="30">
        <v>95064</v>
      </c>
    </row>
    <row r="414" spans="1:9" s="18" customFormat="1" ht="11.1" hidden="1" customHeight="1" outlineLevel="2" x14ac:dyDescent="0.2">
      <c r="A414" s="108" t="s">
        <v>351</v>
      </c>
      <c r="B414" s="108"/>
      <c r="C414" s="108"/>
      <c r="D414" s="108"/>
      <c r="E414" s="28" t="s">
        <v>147</v>
      </c>
      <c r="F414" s="29">
        <v>20</v>
      </c>
      <c r="G414" s="30">
        <v>693200</v>
      </c>
      <c r="H414" s="32">
        <v>138640</v>
      </c>
      <c r="I414" s="30">
        <v>831840</v>
      </c>
    </row>
    <row r="415" spans="1:9" s="18" customFormat="1" ht="11.1" hidden="1" customHeight="1" outlineLevel="2" x14ac:dyDescent="0.2">
      <c r="A415" s="108" t="s">
        <v>441</v>
      </c>
      <c r="B415" s="108"/>
      <c r="C415" s="108"/>
      <c r="D415" s="108"/>
      <c r="E415" s="28" t="s">
        <v>147</v>
      </c>
      <c r="F415" s="29">
        <v>22</v>
      </c>
      <c r="G415" s="30">
        <v>686246</v>
      </c>
      <c r="H415" s="32">
        <v>137249.20000000001</v>
      </c>
      <c r="I415" s="30">
        <v>823495.2</v>
      </c>
    </row>
    <row r="416" spans="1:9" s="18" customFormat="1" ht="11.1" hidden="1" customHeight="1" outlineLevel="2" x14ac:dyDescent="0.2">
      <c r="A416" s="108" t="s">
        <v>239</v>
      </c>
      <c r="B416" s="108"/>
      <c r="C416" s="108"/>
      <c r="D416" s="108"/>
      <c r="E416" s="28" t="s">
        <v>147</v>
      </c>
      <c r="F416" s="29">
        <v>5</v>
      </c>
      <c r="G416" s="30">
        <v>81637.5</v>
      </c>
      <c r="H416" s="32">
        <v>16327.5</v>
      </c>
      <c r="I416" s="30">
        <v>97965</v>
      </c>
    </row>
    <row r="417" spans="1:9" s="18" customFormat="1" ht="11.1" hidden="1" customHeight="1" outlineLevel="2" x14ac:dyDescent="0.2">
      <c r="A417" s="108" t="s">
        <v>347</v>
      </c>
      <c r="B417" s="108"/>
      <c r="C417" s="108"/>
      <c r="D417" s="108"/>
      <c r="E417" s="28" t="s">
        <v>147</v>
      </c>
      <c r="F417" s="29">
        <v>25</v>
      </c>
      <c r="G417" s="30">
        <v>430062.5</v>
      </c>
      <c r="H417" s="32">
        <v>86012.5</v>
      </c>
      <c r="I417" s="30">
        <v>516075</v>
      </c>
    </row>
    <row r="418" spans="1:9" s="18" customFormat="1" ht="11.1" hidden="1" customHeight="1" outlineLevel="2" x14ac:dyDescent="0.2">
      <c r="A418" s="108" t="s">
        <v>356</v>
      </c>
      <c r="B418" s="108"/>
      <c r="C418" s="108"/>
      <c r="D418" s="108"/>
      <c r="E418" s="28" t="s">
        <v>147</v>
      </c>
      <c r="F418" s="29">
        <v>18</v>
      </c>
      <c r="G418" s="30">
        <v>551880</v>
      </c>
      <c r="H418" s="32">
        <v>110376</v>
      </c>
      <c r="I418" s="30">
        <v>662256</v>
      </c>
    </row>
    <row r="419" spans="1:9" s="18" customFormat="1" ht="11.1" hidden="1" customHeight="1" outlineLevel="2" x14ac:dyDescent="0.2">
      <c r="A419" s="108" t="s">
        <v>232</v>
      </c>
      <c r="B419" s="108"/>
      <c r="C419" s="108"/>
      <c r="D419" s="108"/>
      <c r="E419" s="28" t="s">
        <v>147</v>
      </c>
      <c r="F419" s="29">
        <v>4</v>
      </c>
      <c r="G419" s="30">
        <v>217577.33</v>
      </c>
      <c r="H419" s="32">
        <v>43515.47</v>
      </c>
      <c r="I419" s="30">
        <v>261092.8</v>
      </c>
    </row>
    <row r="420" spans="1:9" s="18" customFormat="1" ht="11.1" hidden="1" customHeight="1" outlineLevel="2" x14ac:dyDescent="0.2">
      <c r="A420" s="108" t="s">
        <v>442</v>
      </c>
      <c r="B420" s="108"/>
      <c r="C420" s="108"/>
      <c r="D420" s="108"/>
      <c r="E420" s="28" t="s">
        <v>147</v>
      </c>
      <c r="F420" s="29">
        <v>1</v>
      </c>
      <c r="G420" s="30">
        <v>61710</v>
      </c>
      <c r="H420" s="32">
        <v>12342</v>
      </c>
      <c r="I420" s="30">
        <v>74052</v>
      </c>
    </row>
    <row r="421" spans="1:9" s="18" customFormat="1" ht="11.1" hidden="1" customHeight="1" outlineLevel="2" x14ac:dyDescent="0.2">
      <c r="A421" s="108" t="s">
        <v>443</v>
      </c>
      <c r="B421" s="108"/>
      <c r="C421" s="108"/>
      <c r="D421" s="108"/>
      <c r="E421" s="28" t="s">
        <v>147</v>
      </c>
      <c r="F421" s="29">
        <v>8</v>
      </c>
      <c r="G421" s="30">
        <v>34953.33</v>
      </c>
      <c r="H421" s="32">
        <v>6990.67</v>
      </c>
      <c r="I421" s="30">
        <v>41944</v>
      </c>
    </row>
    <row r="422" spans="1:9" s="18" customFormat="1" ht="11.1" hidden="1" customHeight="1" outlineLevel="2" x14ac:dyDescent="0.2">
      <c r="A422" s="108" t="s">
        <v>352</v>
      </c>
      <c r="B422" s="108"/>
      <c r="C422" s="108"/>
      <c r="D422" s="108"/>
      <c r="E422" s="28" t="s">
        <v>147</v>
      </c>
      <c r="F422" s="29">
        <v>5</v>
      </c>
      <c r="G422" s="30">
        <v>612283.32999999996</v>
      </c>
      <c r="H422" s="32">
        <v>122456.67</v>
      </c>
      <c r="I422" s="30">
        <v>734740</v>
      </c>
    </row>
    <row r="423" spans="1:9" s="18" customFormat="1" ht="11.1" hidden="1" customHeight="1" outlineLevel="2" x14ac:dyDescent="0.2">
      <c r="A423" s="108" t="s">
        <v>444</v>
      </c>
      <c r="B423" s="108"/>
      <c r="C423" s="108"/>
      <c r="D423" s="108"/>
      <c r="E423" s="28" t="s">
        <v>147</v>
      </c>
      <c r="F423" s="29">
        <v>1</v>
      </c>
      <c r="G423" s="30">
        <v>297500</v>
      </c>
      <c r="H423" s="32">
        <v>59500</v>
      </c>
      <c r="I423" s="30">
        <v>357000</v>
      </c>
    </row>
    <row r="424" spans="1:9" s="18" customFormat="1" ht="11.1" hidden="1" customHeight="1" outlineLevel="2" x14ac:dyDescent="0.2">
      <c r="A424" s="108" t="s">
        <v>241</v>
      </c>
      <c r="B424" s="108"/>
      <c r="C424" s="108"/>
      <c r="D424" s="108"/>
      <c r="E424" s="28" t="s">
        <v>147</v>
      </c>
      <c r="F424" s="29">
        <v>3</v>
      </c>
      <c r="G424" s="30">
        <v>191930</v>
      </c>
      <c r="H424" s="32">
        <v>38386</v>
      </c>
      <c r="I424" s="30">
        <v>230316</v>
      </c>
    </row>
    <row r="425" spans="1:9" s="18" customFormat="1" ht="11.1" hidden="1" customHeight="1" outlineLevel="2" x14ac:dyDescent="0.2">
      <c r="A425" s="108" t="s">
        <v>350</v>
      </c>
      <c r="B425" s="108"/>
      <c r="C425" s="108"/>
      <c r="D425" s="108"/>
      <c r="E425" s="28" t="s">
        <v>147</v>
      </c>
      <c r="F425" s="29">
        <v>40</v>
      </c>
      <c r="G425" s="30">
        <v>703720</v>
      </c>
      <c r="H425" s="32">
        <v>140744</v>
      </c>
      <c r="I425" s="30">
        <v>844464</v>
      </c>
    </row>
    <row r="426" spans="1:9" s="18" customFormat="1" ht="11.1" hidden="1" customHeight="1" outlineLevel="2" x14ac:dyDescent="0.2">
      <c r="A426" s="108" t="s">
        <v>445</v>
      </c>
      <c r="B426" s="108"/>
      <c r="C426" s="108"/>
      <c r="D426" s="108"/>
      <c r="E426" s="28" t="s">
        <v>147</v>
      </c>
      <c r="F426" s="29">
        <v>5</v>
      </c>
      <c r="G426" s="30">
        <v>36605</v>
      </c>
      <c r="H426" s="32">
        <v>7321</v>
      </c>
      <c r="I426" s="30">
        <v>43926</v>
      </c>
    </row>
    <row r="427" spans="1:9" s="18" customFormat="1" ht="11.1" hidden="1" customHeight="1" outlineLevel="2" x14ac:dyDescent="0.2">
      <c r="A427" s="108" t="s">
        <v>445</v>
      </c>
      <c r="B427" s="108"/>
      <c r="C427" s="108"/>
      <c r="D427" s="108"/>
      <c r="E427" s="28" t="s">
        <v>147</v>
      </c>
      <c r="F427" s="29">
        <v>1</v>
      </c>
      <c r="G427" s="30">
        <v>7321</v>
      </c>
      <c r="H427" s="32">
        <v>1464.2</v>
      </c>
      <c r="I427" s="30">
        <v>8785.2000000000007</v>
      </c>
    </row>
    <row r="428" spans="1:9" s="18" customFormat="1" ht="21.95" hidden="1" customHeight="1" outlineLevel="2" x14ac:dyDescent="0.2">
      <c r="A428" s="108" t="s">
        <v>446</v>
      </c>
      <c r="B428" s="108"/>
      <c r="C428" s="108"/>
      <c r="D428" s="108"/>
      <c r="E428" s="28" t="s">
        <v>147</v>
      </c>
      <c r="F428" s="29">
        <v>1</v>
      </c>
      <c r="G428" s="30">
        <v>175100</v>
      </c>
      <c r="H428" s="32">
        <v>35020</v>
      </c>
      <c r="I428" s="30">
        <v>210120</v>
      </c>
    </row>
    <row r="429" spans="1:9" s="18" customFormat="1" ht="11.1" hidden="1" customHeight="1" outlineLevel="2" x14ac:dyDescent="0.2">
      <c r="A429" s="108" t="s">
        <v>235</v>
      </c>
      <c r="B429" s="108"/>
      <c r="C429" s="108"/>
      <c r="D429" s="108"/>
      <c r="E429" s="28" t="s">
        <v>147</v>
      </c>
      <c r="F429" s="29">
        <v>8</v>
      </c>
      <c r="G429" s="30">
        <v>634666.67000000004</v>
      </c>
      <c r="H429" s="32">
        <v>126933.33</v>
      </c>
      <c r="I429" s="30">
        <v>761600</v>
      </c>
    </row>
    <row r="430" spans="1:9" s="18" customFormat="1" ht="11.1" hidden="1" customHeight="1" outlineLevel="2" x14ac:dyDescent="0.2">
      <c r="A430" s="108" t="s">
        <v>235</v>
      </c>
      <c r="B430" s="108"/>
      <c r="C430" s="108"/>
      <c r="D430" s="108"/>
      <c r="E430" s="28" t="s">
        <v>147</v>
      </c>
      <c r="F430" s="29">
        <v>1</v>
      </c>
      <c r="G430" s="30">
        <v>79333.33</v>
      </c>
      <c r="H430" s="32">
        <v>15866.67</v>
      </c>
      <c r="I430" s="30">
        <v>95200</v>
      </c>
    </row>
    <row r="431" spans="1:9" s="18" customFormat="1" ht="11.1" hidden="1" customHeight="1" outlineLevel="2" x14ac:dyDescent="0.2">
      <c r="A431" s="108" t="s">
        <v>345</v>
      </c>
      <c r="B431" s="108"/>
      <c r="C431" s="108"/>
      <c r="D431" s="108"/>
      <c r="E431" s="28" t="s">
        <v>147</v>
      </c>
      <c r="F431" s="29">
        <v>1</v>
      </c>
      <c r="G431" s="30">
        <v>10260.83</v>
      </c>
      <c r="H431" s="32">
        <v>2052.17</v>
      </c>
      <c r="I431" s="30">
        <v>12313</v>
      </c>
    </row>
    <row r="432" spans="1:9" s="18" customFormat="1" ht="11.1" hidden="1" customHeight="1" outlineLevel="2" x14ac:dyDescent="0.2">
      <c r="A432" s="108" t="s">
        <v>349</v>
      </c>
      <c r="B432" s="108"/>
      <c r="C432" s="108"/>
      <c r="D432" s="108"/>
      <c r="E432" s="28" t="s">
        <v>147</v>
      </c>
      <c r="F432" s="29">
        <v>21</v>
      </c>
      <c r="G432" s="30">
        <v>459060</v>
      </c>
      <c r="H432" s="32">
        <v>91812</v>
      </c>
      <c r="I432" s="30">
        <v>550872</v>
      </c>
    </row>
    <row r="433" spans="1:9" s="18" customFormat="1" ht="11.1" hidden="1" customHeight="1" outlineLevel="2" collapsed="1" x14ac:dyDescent="0.2">
      <c r="A433" s="108" t="s">
        <v>361</v>
      </c>
      <c r="B433" s="108"/>
      <c r="C433" s="108"/>
      <c r="D433" s="108"/>
      <c r="E433" s="28" t="s">
        <v>147</v>
      </c>
      <c r="F433" s="29">
        <v>1</v>
      </c>
      <c r="G433" s="30">
        <v>55811</v>
      </c>
      <c r="H433" s="32">
        <v>11162.2</v>
      </c>
      <c r="I433" s="30">
        <v>66973.2</v>
      </c>
    </row>
    <row r="434" spans="1:9" s="18" customFormat="1" ht="11.1" hidden="1" customHeight="1" outlineLevel="1" collapsed="1" x14ac:dyDescent="0.2">
      <c r="A434" s="107" t="s">
        <v>447</v>
      </c>
      <c r="B434" s="107"/>
      <c r="C434" s="107"/>
      <c r="D434" s="107"/>
      <c r="E434" s="107"/>
      <c r="F434" s="25">
        <v>756</v>
      </c>
      <c r="G434" s="26">
        <v>1376572.08</v>
      </c>
      <c r="H434" s="27">
        <v>275314.42</v>
      </c>
      <c r="I434" s="39">
        <v>1651886.5</v>
      </c>
    </row>
    <row r="435" spans="1:9" s="18" customFormat="1" ht="11.1" hidden="1" customHeight="1" outlineLevel="2" x14ac:dyDescent="0.2">
      <c r="A435" s="108" t="s">
        <v>268</v>
      </c>
      <c r="B435" s="108"/>
      <c r="C435" s="108"/>
      <c r="D435" s="108"/>
      <c r="E435" s="28" t="s">
        <v>147</v>
      </c>
      <c r="F435" s="29">
        <v>6</v>
      </c>
      <c r="G435" s="30">
        <v>4725</v>
      </c>
      <c r="H435" s="31">
        <v>945</v>
      </c>
      <c r="I435" s="30">
        <v>5670</v>
      </c>
    </row>
    <row r="436" spans="1:9" s="18" customFormat="1" ht="11.1" hidden="1" customHeight="1" outlineLevel="2" x14ac:dyDescent="0.2">
      <c r="A436" s="108" t="s">
        <v>448</v>
      </c>
      <c r="B436" s="108"/>
      <c r="C436" s="108"/>
      <c r="D436" s="108"/>
      <c r="E436" s="28" t="s">
        <v>147</v>
      </c>
      <c r="F436" s="29">
        <v>1</v>
      </c>
      <c r="G436" s="30">
        <v>4766.67</v>
      </c>
      <c r="H436" s="31">
        <v>953.33</v>
      </c>
      <c r="I436" s="30">
        <v>5720</v>
      </c>
    </row>
    <row r="437" spans="1:9" s="18" customFormat="1" ht="11.1" hidden="1" customHeight="1" outlineLevel="2" x14ac:dyDescent="0.2">
      <c r="A437" s="108" t="s">
        <v>449</v>
      </c>
      <c r="B437" s="108"/>
      <c r="C437" s="108"/>
      <c r="D437" s="108"/>
      <c r="E437" s="28" t="s">
        <v>147</v>
      </c>
      <c r="F437" s="29">
        <v>5</v>
      </c>
      <c r="G437" s="30">
        <v>2681.25</v>
      </c>
      <c r="H437" s="31">
        <v>536.25</v>
      </c>
      <c r="I437" s="30">
        <v>3217.5</v>
      </c>
    </row>
    <row r="438" spans="1:9" s="18" customFormat="1" ht="11.1" hidden="1" customHeight="1" outlineLevel="2" x14ac:dyDescent="0.2">
      <c r="A438" s="108" t="s">
        <v>450</v>
      </c>
      <c r="B438" s="108"/>
      <c r="C438" s="108"/>
      <c r="D438" s="108"/>
      <c r="E438" s="28" t="s">
        <v>147</v>
      </c>
      <c r="F438" s="29">
        <v>30</v>
      </c>
      <c r="G438" s="30">
        <v>10562.5</v>
      </c>
      <c r="H438" s="32">
        <v>2112.5</v>
      </c>
      <c r="I438" s="30">
        <v>12675</v>
      </c>
    </row>
    <row r="439" spans="1:9" s="18" customFormat="1" ht="11.1" hidden="1" customHeight="1" outlineLevel="2" x14ac:dyDescent="0.2">
      <c r="A439" s="108" t="s">
        <v>264</v>
      </c>
      <c r="B439" s="108"/>
      <c r="C439" s="108"/>
      <c r="D439" s="108"/>
      <c r="E439" s="28" t="s">
        <v>147</v>
      </c>
      <c r="F439" s="29">
        <v>3</v>
      </c>
      <c r="G439" s="30">
        <v>7231.25</v>
      </c>
      <c r="H439" s="32">
        <v>1446.25</v>
      </c>
      <c r="I439" s="30">
        <v>8677.5</v>
      </c>
    </row>
    <row r="440" spans="1:9" s="18" customFormat="1" ht="11.1" hidden="1" customHeight="1" outlineLevel="2" x14ac:dyDescent="0.2">
      <c r="A440" s="108" t="s">
        <v>451</v>
      </c>
      <c r="B440" s="108"/>
      <c r="C440" s="108"/>
      <c r="D440" s="108"/>
      <c r="E440" s="28" t="s">
        <v>147</v>
      </c>
      <c r="F440" s="29">
        <v>1</v>
      </c>
      <c r="G440" s="30">
        <v>6941.67</v>
      </c>
      <c r="H440" s="32">
        <v>1388.33</v>
      </c>
      <c r="I440" s="30">
        <v>8330</v>
      </c>
    </row>
    <row r="441" spans="1:9" s="18" customFormat="1" ht="11.1" hidden="1" customHeight="1" outlineLevel="2" x14ac:dyDescent="0.2">
      <c r="A441" s="108" t="s">
        <v>418</v>
      </c>
      <c r="B441" s="108"/>
      <c r="C441" s="108"/>
      <c r="D441" s="108"/>
      <c r="E441" s="28" t="s">
        <v>147</v>
      </c>
      <c r="F441" s="29">
        <v>4</v>
      </c>
      <c r="G441" s="30">
        <v>11666.67</v>
      </c>
      <c r="H441" s="32">
        <v>2333.33</v>
      </c>
      <c r="I441" s="30">
        <v>14000</v>
      </c>
    </row>
    <row r="442" spans="1:9" s="18" customFormat="1" ht="11.1" hidden="1" customHeight="1" outlineLevel="2" x14ac:dyDescent="0.2">
      <c r="A442" s="108" t="s">
        <v>419</v>
      </c>
      <c r="B442" s="108"/>
      <c r="C442" s="108"/>
      <c r="D442" s="108"/>
      <c r="E442" s="28" t="s">
        <v>147</v>
      </c>
      <c r="F442" s="29">
        <v>33</v>
      </c>
      <c r="G442" s="30">
        <v>89196.25</v>
      </c>
      <c r="H442" s="32">
        <v>17839.25</v>
      </c>
      <c r="I442" s="30">
        <v>107035.5</v>
      </c>
    </row>
    <row r="443" spans="1:9" s="18" customFormat="1" ht="11.1" hidden="1" customHeight="1" outlineLevel="2" x14ac:dyDescent="0.2">
      <c r="A443" s="108" t="s">
        <v>452</v>
      </c>
      <c r="B443" s="108"/>
      <c r="C443" s="108"/>
      <c r="D443" s="108"/>
      <c r="E443" s="28" t="s">
        <v>147</v>
      </c>
      <c r="F443" s="29">
        <v>2</v>
      </c>
      <c r="G443" s="30">
        <v>1137.5</v>
      </c>
      <c r="H443" s="31">
        <v>227.5</v>
      </c>
      <c r="I443" s="30">
        <v>1365</v>
      </c>
    </row>
    <row r="444" spans="1:9" s="18" customFormat="1" ht="11.1" hidden="1" customHeight="1" outlineLevel="2" x14ac:dyDescent="0.2">
      <c r="A444" s="108" t="s">
        <v>392</v>
      </c>
      <c r="B444" s="108"/>
      <c r="C444" s="108"/>
      <c r="D444" s="108"/>
      <c r="E444" s="28" t="s">
        <v>147</v>
      </c>
      <c r="F444" s="29">
        <v>33</v>
      </c>
      <c r="G444" s="30">
        <v>78471.25</v>
      </c>
      <c r="H444" s="32">
        <v>15694.25</v>
      </c>
      <c r="I444" s="30">
        <v>94165.5</v>
      </c>
    </row>
    <row r="445" spans="1:9" s="18" customFormat="1" ht="11.1" hidden="1" customHeight="1" outlineLevel="2" x14ac:dyDescent="0.2">
      <c r="A445" s="108" t="s">
        <v>453</v>
      </c>
      <c r="B445" s="108"/>
      <c r="C445" s="108"/>
      <c r="D445" s="108"/>
      <c r="E445" s="28" t="s">
        <v>147</v>
      </c>
      <c r="F445" s="29">
        <v>1</v>
      </c>
      <c r="G445" s="30">
        <v>51800</v>
      </c>
      <c r="H445" s="32">
        <v>10360</v>
      </c>
      <c r="I445" s="30">
        <v>62160</v>
      </c>
    </row>
    <row r="446" spans="1:9" s="18" customFormat="1" ht="11.1" hidden="1" customHeight="1" outlineLevel="2" x14ac:dyDescent="0.2">
      <c r="A446" s="108" t="s">
        <v>417</v>
      </c>
      <c r="B446" s="108"/>
      <c r="C446" s="108"/>
      <c r="D446" s="108"/>
      <c r="E446" s="28" t="s">
        <v>147</v>
      </c>
      <c r="F446" s="29">
        <v>4</v>
      </c>
      <c r="G446" s="30">
        <v>9533.33</v>
      </c>
      <c r="H446" s="32">
        <v>1906.67</v>
      </c>
      <c r="I446" s="30">
        <v>11440</v>
      </c>
    </row>
    <row r="447" spans="1:9" s="18" customFormat="1" ht="11.1" hidden="1" customHeight="1" outlineLevel="2" x14ac:dyDescent="0.2">
      <c r="A447" s="108" t="s">
        <v>334</v>
      </c>
      <c r="B447" s="108"/>
      <c r="C447" s="108"/>
      <c r="D447" s="108"/>
      <c r="E447" s="28" t="s">
        <v>147</v>
      </c>
      <c r="F447" s="29">
        <v>5</v>
      </c>
      <c r="G447" s="30">
        <v>5281.25</v>
      </c>
      <c r="H447" s="32">
        <v>1056.25</v>
      </c>
      <c r="I447" s="30">
        <v>6337.5</v>
      </c>
    </row>
    <row r="448" spans="1:9" s="18" customFormat="1" ht="11.1" hidden="1" customHeight="1" outlineLevel="2" x14ac:dyDescent="0.2">
      <c r="A448" s="108" t="s">
        <v>454</v>
      </c>
      <c r="B448" s="108"/>
      <c r="C448" s="108"/>
      <c r="D448" s="108"/>
      <c r="E448" s="28" t="s">
        <v>147</v>
      </c>
      <c r="F448" s="29">
        <v>1</v>
      </c>
      <c r="G448" s="44">
        <v>408.33</v>
      </c>
      <c r="H448" s="31">
        <v>81.67</v>
      </c>
      <c r="I448" s="44">
        <v>490</v>
      </c>
    </row>
    <row r="449" spans="1:9" s="18" customFormat="1" ht="11.1" hidden="1" customHeight="1" outlineLevel="2" x14ac:dyDescent="0.2">
      <c r="A449" s="108" t="s">
        <v>307</v>
      </c>
      <c r="B449" s="108"/>
      <c r="C449" s="108"/>
      <c r="D449" s="108"/>
      <c r="E449" s="28" t="s">
        <v>147</v>
      </c>
      <c r="F449" s="29">
        <v>15</v>
      </c>
      <c r="G449" s="30">
        <v>10562.5</v>
      </c>
      <c r="H449" s="32">
        <v>2112.5</v>
      </c>
      <c r="I449" s="30">
        <v>12675</v>
      </c>
    </row>
    <row r="450" spans="1:9" s="18" customFormat="1" ht="11.1" hidden="1" customHeight="1" outlineLevel="2" x14ac:dyDescent="0.2">
      <c r="A450" s="108" t="s">
        <v>455</v>
      </c>
      <c r="B450" s="108"/>
      <c r="C450" s="108"/>
      <c r="D450" s="108"/>
      <c r="E450" s="28" t="s">
        <v>147</v>
      </c>
      <c r="F450" s="29">
        <v>20</v>
      </c>
      <c r="G450" s="30">
        <v>26833.33</v>
      </c>
      <c r="H450" s="32">
        <v>5366.67</v>
      </c>
      <c r="I450" s="30">
        <v>32200</v>
      </c>
    </row>
    <row r="451" spans="1:9" s="18" customFormat="1" ht="11.1" hidden="1" customHeight="1" outlineLevel="2" x14ac:dyDescent="0.2">
      <c r="A451" s="108" t="s">
        <v>456</v>
      </c>
      <c r="B451" s="108"/>
      <c r="C451" s="108"/>
      <c r="D451" s="108"/>
      <c r="E451" s="28" t="s">
        <v>147</v>
      </c>
      <c r="F451" s="29">
        <v>1</v>
      </c>
      <c r="G451" s="30">
        <v>6533.33</v>
      </c>
      <c r="H451" s="32">
        <v>1306.67</v>
      </c>
      <c r="I451" s="30">
        <v>7840</v>
      </c>
    </row>
    <row r="452" spans="1:9" s="18" customFormat="1" ht="11.1" hidden="1" customHeight="1" outlineLevel="2" x14ac:dyDescent="0.2">
      <c r="A452" s="108" t="s">
        <v>395</v>
      </c>
      <c r="B452" s="108"/>
      <c r="C452" s="108"/>
      <c r="D452" s="108"/>
      <c r="E452" s="28" t="s">
        <v>147</v>
      </c>
      <c r="F452" s="29">
        <v>33</v>
      </c>
      <c r="G452" s="30">
        <v>58093.75</v>
      </c>
      <c r="H452" s="32">
        <v>11618.75</v>
      </c>
      <c r="I452" s="30">
        <v>69712.5</v>
      </c>
    </row>
    <row r="453" spans="1:9" s="18" customFormat="1" ht="11.1" hidden="1" customHeight="1" outlineLevel="2" x14ac:dyDescent="0.2">
      <c r="A453" s="108" t="s">
        <v>400</v>
      </c>
      <c r="B453" s="108"/>
      <c r="C453" s="108"/>
      <c r="D453" s="108"/>
      <c r="E453" s="28" t="s">
        <v>147</v>
      </c>
      <c r="F453" s="29">
        <v>32</v>
      </c>
      <c r="G453" s="30">
        <v>37960</v>
      </c>
      <c r="H453" s="32">
        <v>7592</v>
      </c>
      <c r="I453" s="30">
        <v>45552</v>
      </c>
    </row>
    <row r="454" spans="1:9" s="18" customFormat="1" ht="11.1" hidden="1" customHeight="1" outlineLevel="2" x14ac:dyDescent="0.2">
      <c r="A454" s="108" t="s">
        <v>457</v>
      </c>
      <c r="B454" s="108"/>
      <c r="C454" s="108"/>
      <c r="D454" s="108"/>
      <c r="E454" s="28" t="s">
        <v>147</v>
      </c>
      <c r="F454" s="29">
        <v>6</v>
      </c>
      <c r="G454" s="30">
        <v>9100</v>
      </c>
      <c r="H454" s="32">
        <v>1820</v>
      </c>
      <c r="I454" s="30">
        <v>10920</v>
      </c>
    </row>
    <row r="455" spans="1:9" s="18" customFormat="1" ht="11.1" hidden="1" customHeight="1" outlineLevel="2" x14ac:dyDescent="0.2">
      <c r="A455" s="108" t="s">
        <v>320</v>
      </c>
      <c r="B455" s="108"/>
      <c r="C455" s="108"/>
      <c r="D455" s="108"/>
      <c r="E455" s="28" t="s">
        <v>147</v>
      </c>
      <c r="F455" s="29">
        <v>4</v>
      </c>
      <c r="G455" s="30">
        <v>4766.67</v>
      </c>
      <c r="H455" s="31">
        <v>953.33</v>
      </c>
      <c r="I455" s="30">
        <v>5720</v>
      </c>
    </row>
    <row r="456" spans="1:9" s="18" customFormat="1" ht="11.1" hidden="1" customHeight="1" outlineLevel="2" x14ac:dyDescent="0.2">
      <c r="A456" s="108" t="s">
        <v>396</v>
      </c>
      <c r="B456" s="108"/>
      <c r="C456" s="108"/>
      <c r="D456" s="108"/>
      <c r="E456" s="28" t="s">
        <v>147</v>
      </c>
      <c r="F456" s="29">
        <v>30</v>
      </c>
      <c r="G456" s="30">
        <v>35750</v>
      </c>
      <c r="H456" s="32">
        <v>7150</v>
      </c>
      <c r="I456" s="30">
        <v>42900</v>
      </c>
    </row>
    <row r="457" spans="1:9" s="18" customFormat="1" ht="11.1" hidden="1" customHeight="1" outlineLevel="2" x14ac:dyDescent="0.2">
      <c r="A457" s="108" t="s">
        <v>402</v>
      </c>
      <c r="B457" s="108"/>
      <c r="C457" s="108"/>
      <c r="D457" s="108"/>
      <c r="E457" s="28" t="s">
        <v>147</v>
      </c>
      <c r="F457" s="29">
        <v>32</v>
      </c>
      <c r="G457" s="30">
        <v>32933.33</v>
      </c>
      <c r="H457" s="32">
        <v>6586.67</v>
      </c>
      <c r="I457" s="30">
        <v>39520</v>
      </c>
    </row>
    <row r="458" spans="1:9" s="18" customFormat="1" ht="11.1" hidden="1" customHeight="1" outlineLevel="2" x14ac:dyDescent="0.2">
      <c r="A458" s="108" t="s">
        <v>458</v>
      </c>
      <c r="B458" s="108"/>
      <c r="C458" s="108"/>
      <c r="D458" s="108"/>
      <c r="E458" s="28" t="s">
        <v>147</v>
      </c>
      <c r="F458" s="29">
        <v>35</v>
      </c>
      <c r="G458" s="30">
        <v>47206.25</v>
      </c>
      <c r="H458" s="32">
        <v>9441.25</v>
      </c>
      <c r="I458" s="30">
        <v>56647.5</v>
      </c>
    </row>
    <row r="459" spans="1:9" s="18" customFormat="1" ht="11.1" hidden="1" customHeight="1" outlineLevel="2" x14ac:dyDescent="0.2">
      <c r="A459" s="108" t="s">
        <v>459</v>
      </c>
      <c r="B459" s="108"/>
      <c r="C459" s="108"/>
      <c r="D459" s="108"/>
      <c r="E459" s="28" t="s">
        <v>147</v>
      </c>
      <c r="F459" s="29">
        <v>4</v>
      </c>
      <c r="G459" s="30">
        <v>13883.33</v>
      </c>
      <c r="H459" s="32">
        <v>2776.67</v>
      </c>
      <c r="I459" s="30">
        <v>16660</v>
      </c>
    </row>
    <row r="460" spans="1:9" s="18" customFormat="1" ht="11.1" hidden="1" customHeight="1" outlineLevel="2" x14ac:dyDescent="0.2">
      <c r="A460" s="108" t="s">
        <v>252</v>
      </c>
      <c r="B460" s="108"/>
      <c r="C460" s="108"/>
      <c r="D460" s="108"/>
      <c r="E460" s="28" t="s">
        <v>147</v>
      </c>
      <c r="F460" s="29">
        <v>10</v>
      </c>
      <c r="G460" s="30">
        <v>3325</v>
      </c>
      <c r="H460" s="31">
        <v>665</v>
      </c>
      <c r="I460" s="30">
        <v>3990</v>
      </c>
    </row>
    <row r="461" spans="1:9" s="18" customFormat="1" ht="11.1" hidden="1" customHeight="1" outlineLevel="2" x14ac:dyDescent="0.2">
      <c r="A461" s="108" t="s">
        <v>315</v>
      </c>
      <c r="B461" s="108"/>
      <c r="C461" s="108"/>
      <c r="D461" s="108"/>
      <c r="E461" s="28" t="s">
        <v>147</v>
      </c>
      <c r="F461" s="29">
        <v>14</v>
      </c>
      <c r="G461" s="30">
        <v>13650</v>
      </c>
      <c r="H461" s="32">
        <v>2730</v>
      </c>
      <c r="I461" s="30">
        <v>16380</v>
      </c>
    </row>
    <row r="462" spans="1:9" s="18" customFormat="1" ht="11.1" hidden="1" customHeight="1" outlineLevel="2" x14ac:dyDescent="0.2">
      <c r="A462" s="108" t="s">
        <v>332</v>
      </c>
      <c r="B462" s="108"/>
      <c r="C462" s="108"/>
      <c r="D462" s="108"/>
      <c r="E462" s="28" t="s">
        <v>147</v>
      </c>
      <c r="F462" s="29">
        <v>3</v>
      </c>
      <c r="G462" s="30">
        <v>5850</v>
      </c>
      <c r="H462" s="32">
        <v>1170</v>
      </c>
      <c r="I462" s="30">
        <v>7020</v>
      </c>
    </row>
    <row r="463" spans="1:9" s="18" customFormat="1" ht="11.1" hidden="1" customHeight="1" outlineLevel="2" x14ac:dyDescent="0.2">
      <c r="A463" s="108" t="s">
        <v>403</v>
      </c>
      <c r="B463" s="108"/>
      <c r="C463" s="108"/>
      <c r="D463" s="108"/>
      <c r="E463" s="28" t="s">
        <v>147</v>
      </c>
      <c r="F463" s="29">
        <v>37</v>
      </c>
      <c r="G463" s="30">
        <v>26054.17</v>
      </c>
      <c r="H463" s="32">
        <v>5210.83</v>
      </c>
      <c r="I463" s="30">
        <v>31265</v>
      </c>
    </row>
    <row r="464" spans="1:9" s="18" customFormat="1" ht="11.1" hidden="1" customHeight="1" outlineLevel="2" x14ac:dyDescent="0.2">
      <c r="A464" s="108" t="s">
        <v>404</v>
      </c>
      <c r="B464" s="108"/>
      <c r="C464" s="108"/>
      <c r="D464" s="108"/>
      <c r="E464" s="28" t="s">
        <v>147</v>
      </c>
      <c r="F464" s="29">
        <v>30</v>
      </c>
      <c r="G464" s="30">
        <v>18687.5</v>
      </c>
      <c r="H464" s="32">
        <v>3737.5</v>
      </c>
      <c r="I464" s="30">
        <v>22425</v>
      </c>
    </row>
    <row r="465" spans="1:9" s="18" customFormat="1" ht="11.1" hidden="1" customHeight="1" outlineLevel="2" x14ac:dyDescent="0.2">
      <c r="A465" s="108" t="s">
        <v>327</v>
      </c>
      <c r="B465" s="108"/>
      <c r="C465" s="108"/>
      <c r="D465" s="108"/>
      <c r="E465" s="28" t="s">
        <v>147</v>
      </c>
      <c r="F465" s="29">
        <v>5</v>
      </c>
      <c r="G465" s="30">
        <v>3500</v>
      </c>
      <c r="H465" s="31">
        <v>700</v>
      </c>
      <c r="I465" s="30">
        <v>4200</v>
      </c>
    </row>
    <row r="466" spans="1:9" s="18" customFormat="1" ht="11.1" hidden="1" customHeight="1" outlineLevel="2" x14ac:dyDescent="0.2">
      <c r="A466" s="108" t="s">
        <v>460</v>
      </c>
      <c r="B466" s="108"/>
      <c r="C466" s="108"/>
      <c r="D466" s="108"/>
      <c r="E466" s="28" t="s">
        <v>147</v>
      </c>
      <c r="F466" s="29">
        <v>2</v>
      </c>
      <c r="G466" s="30">
        <v>57958.33</v>
      </c>
      <c r="H466" s="32">
        <v>11591.67</v>
      </c>
      <c r="I466" s="30">
        <v>69550</v>
      </c>
    </row>
    <row r="467" spans="1:9" s="18" customFormat="1" ht="11.1" hidden="1" customHeight="1" outlineLevel="2" x14ac:dyDescent="0.2">
      <c r="A467" s="108" t="s">
        <v>461</v>
      </c>
      <c r="B467" s="108"/>
      <c r="C467" s="108"/>
      <c r="D467" s="108"/>
      <c r="E467" s="28" t="s">
        <v>147</v>
      </c>
      <c r="F467" s="29">
        <v>3</v>
      </c>
      <c r="G467" s="30">
        <v>31200</v>
      </c>
      <c r="H467" s="32">
        <v>6240</v>
      </c>
      <c r="I467" s="30">
        <v>37440</v>
      </c>
    </row>
    <row r="468" spans="1:9" s="18" customFormat="1" ht="11.1" hidden="1" customHeight="1" outlineLevel="2" x14ac:dyDescent="0.2">
      <c r="A468" s="108" t="s">
        <v>379</v>
      </c>
      <c r="B468" s="108"/>
      <c r="C468" s="108"/>
      <c r="D468" s="108"/>
      <c r="E468" s="28" t="s">
        <v>147</v>
      </c>
      <c r="F468" s="29">
        <v>14</v>
      </c>
      <c r="G468" s="30">
        <v>13270.83</v>
      </c>
      <c r="H468" s="32">
        <v>2654.17</v>
      </c>
      <c r="I468" s="30">
        <v>15925</v>
      </c>
    </row>
    <row r="469" spans="1:9" s="18" customFormat="1" ht="11.1" hidden="1" customHeight="1" outlineLevel="2" x14ac:dyDescent="0.2">
      <c r="A469" s="108" t="s">
        <v>379</v>
      </c>
      <c r="B469" s="108"/>
      <c r="C469" s="108"/>
      <c r="D469" s="108"/>
      <c r="E469" s="28" t="s">
        <v>147</v>
      </c>
      <c r="F469" s="29">
        <v>16</v>
      </c>
      <c r="G469" s="30">
        <v>15166.67</v>
      </c>
      <c r="H469" s="32">
        <v>3033.33</v>
      </c>
      <c r="I469" s="30">
        <v>18200</v>
      </c>
    </row>
    <row r="470" spans="1:9" s="18" customFormat="1" ht="11.1" hidden="1" customHeight="1" outlineLevel="2" x14ac:dyDescent="0.2">
      <c r="A470" s="108" t="s">
        <v>462</v>
      </c>
      <c r="B470" s="108"/>
      <c r="C470" s="108"/>
      <c r="D470" s="108"/>
      <c r="E470" s="28" t="s">
        <v>147</v>
      </c>
      <c r="F470" s="29">
        <v>2</v>
      </c>
      <c r="G470" s="30">
        <v>2741.67</v>
      </c>
      <c r="H470" s="31">
        <v>548.33000000000004</v>
      </c>
      <c r="I470" s="30">
        <v>3290</v>
      </c>
    </row>
    <row r="471" spans="1:9" s="18" customFormat="1" ht="11.1" hidden="1" customHeight="1" outlineLevel="2" x14ac:dyDescent="0.2">
      <c r="A471" s="108" t="s">
        <v>414</v>
      </c>
      <c r="B471" s="108"/>
      <c r="C471" s="108"/>
      <c r="D471" s="108"/>
      <c r="E471" s="28" t="s">
        <v>147</v>
      </c>
      <c r="F471" s="29">
        <v>30</v>
      </c>
      <c r="G471" s="30">
        <v>29250</v>
      </c>
      <c r="H471" s="32">
        <v>5850</v>
      </c>
      <c r="I471" s="30">
        <v>35100</v>
      </c>
    </row>
    <row r="472" spans="1:9" s="18" customFormat="1" ht="11.1" hidden="1" customHeight="1" outlineLevel="2" x14ac:dyDescent="0.2">
      <c r="A472" s="108" t="s">
        <v>463</v>
      </c>
      <c r="B472" s="108"/>
      <c r="C472" s="108"/>
      <c r="D472" s="108"/>
      <c r="E472" s="28" t="s">
        <v>147</v>
      </c>
      <c r="F472" s="29">
        <v>20</v>
      </c>
      <c r="G472" s="30">
        <v>28583.33</v>
      </c>
      <c r="H472" s="32">
        <v>5716.67</v>
      </c>
      <c r="I472" s="30">
        <v>34300</v>
      </c>
    </row>
    <row r="473" spans="1:9" s="18" customFormat="1" ht="11.1" hidden="1" customHeight="1" outlineLevel="2" x14ac:dyDescent="0.2">
      <c r="A473" s="108" t="s">
        <v>464</v>
      </c>
      <c r="B473" s="108"/>
      <c r="C473" s="108"/>
      <c r="D473" s="108"/>
      <c r="E473" s="28" t="s">
        <v>147</v>
      </c>
      <c r="F473" s="29">
        <v>5</v>
      </c>
      <c r="G473" s="30">
        <v>5104.17</v>
      </c>
      <c r="H473" s="32">
        <v>1020.83</v>
      </c>
      <c r="I473" s="30">
        <v>6125</v>
      </c>
    </row>
    <row r="474" spans="1:9" s="18" customFormat="1" ht="11.1" hidden="1" customHeight="1" outlineLevel="2" x14ac:dyDescent="0.2">
      <c r="A474" s="108" t="s">
        <v>384</v>
      </c>
      <c r="B474" s="108"/>
      <c r="C474" s="108"/>
      <c r="D474" s="108"/>
      <c r="E474" s="28" t="s">
        <v>147</v>
      </c>
      <c r="F474" s="29">
        <v>30</v>
      </c>
      <c r="G474" s="30">
        <v>40462.5</v>
      </c>
      <c r="H474" s="32">
        <v>8092.5</v>
      </c>
      <c r="I474" s="30">
        <v>48555</v>
      </c>
    </row>
    <row r="475" spans="1:9" s="18" customFormat="1" ht="11.1" hidden="1" customHeight="1" outlineLevel="2" x14ac:dyDescent="0.2">
      <c r="A475" s="108" t="s">
        <v>295</v>
      </c>
      <c r="B475" s="108"/>
      <c r="C475" s="108"/>
      <c r="D475" s="108"/>
      <c r="E475" s="28" t="s">
        <v>147</v>
      </c>
      <c r="F475" s="29">
        <v>10</v>
      </c>
      <c r="G475" s="30">
        <v>18145.830000000002</v>
      </c>
      <c r="H475" s="32">
        <v>3629.17</v>
      </c>
      <c r="I475" s="30">
        <v>21775</v>
      </c>
    </row>
    <row r="476" spans="1:9" s="18" customFormat="1" ht="11.1" hidden="1" customHeight="1" outlineLevel="2" x14ac:dyDescent="0.2">
      <c r="A476" s="108" t="s">
        <v>465</v>
      </c>
      <c r="B476" s="108"/>
      <c r="C476" s="108"/>
      <c r="D476" s="108"/>
      <c r="E476" s="28" t="s">
        <v>147</v>
      </c>
      <c r="F476" s="29">
        <v>1</v>
      </c>
      <c r="G476" s="30">
        <v>3266.67</v>
      </c>
      <c r="H476" s="31">
        <v>653.33000000000004</v>
      </c>
      <c r="I476" s="30">
        <v>3920</v>
      </c>
    </row>
    <row r="477" spans="1:9" s="18" customFormat="1" ht="11.1" hidden="1" customHeight="1" outlineLevel="2" x14ac:dyDescent="0.2">
      <c r="A477" s="108" t="s">
        <v>416</v>
      </c>
      <c r="B477" s="108"/>
      <c r="C477" s="108"/>
      <c r="D477" s="108"/>
      <c r="E477" s="28" t="s">
        <v>147</v>
      </c>
      <c r="F477" s="29">
        <v>2</v>
      </c>
      <c r="G477" s="30">
        <v>2391.67</v>
      </c>
      <c r="H477" s="31">
        <v>478.33</v>
      </c>
      <c r="I477" s="30">
        <v>2870</v>
      </c>
    </row>
    <row r="478" spans="1:9" s="18" customFormat="1" ht="11.1" hidden="1" customHeight="1" outlineLevel="2" x14ac:dyDescent="0.2">
      <c r="A478" s="108" t="s">
        <v>236</v>
      </c>
      <c r="B478" s="108"/>
      <c r="C478" s="108"/>
      <c r="D478" s="108"/>
      <c r="E478" s="28" t="s">
        <v>147</v>
      </c>
      <c r="F478" s="29">
        <v>1</v>
      </c>
      <c r="G478" s="30">
        <v>10033.33</v>
      </c>
      <c r="H478" s="32">
        <v>2006.67</v>
      </c>
      <c r="I478" s="30">
        <v>12040</v>
      </c>
    </row>
    <row r="479" spans="1:9" s="18" customFormat="1" ht="11.1" hidden="1" customHeight="1" outlineLevel="2" x14ac:dyDescent="0.2">
      <c r="A479" s="108" t="s">
        <v>466</v>
      </c>
      <c r="B479" s="108"/>
      <c r="C479" s="108"/>
      <c r="D479" s="108"/>
      <c r="E479" s="28" t="s">
        <v>147</v>
      </c>
      <c r="F479" s="29">
        <v>30</v>
      </c>
      <c r="G479" s="30">
        <v>24375</v>
      </c>
      <c r="H479" s="32">
        <v>4875</v>
      </c>
      <c r="I479" s="30">
        <v>29250</v>
      </c>
    </row>
    <row r="480" spans="1:9" s="18" customFormat="1" ht="11.1" hidden="1" customHeight="1" outlineLevel="2" x14ac:dyDescent="0.2">
      <c r="A480" s="108" t="s">
        <v>333</v>
      </c>
      <c r="B480" s="108"/>
      <c r="C480" s="108"/>
      <c r="D480" s="108"/>
      <c r="E480" s="28" t="s">
        <v>147</v>
      </c>
      <c r="F480" s="29">
        <v>5</v>
      </c>
      <c r="G480" s="30">
        <v>11375</v>
      </c>
      <c r="H480" s="32">
        <v>2275</v>
      </c>
      <c r="I480" s="30">
        <v>13650</v>
      </c>
    </row>
    <row r="481" spans="1:9" s="18" customFormat="1" ht="11.1" hidden="1" customHeight="1" outlineLevel="2" x14ac:dyDescent="0.2">
      <c r="A481" s="108" t="s">
        <v>467</v>
      </c>
      <c r="B481" s="108"/>
      <c r="C481" s="108"/>
      <c r="D481" s="108"/>
      <c r="E481" s="28" t="s">
        <v>147</v>
      </c>
      <c r="F481" s="29">
        <v>5</v>
      </c>
      <c r="G481" s="30">
        <v>3354.17</v>
      </c>
      <c r="H481" s="31">
        <v>670.83</v>
      </c>
      <c r="I481" s="30">
        <v>4025</v>
      </c>
    </row>
    <row r="482" spans="1:9" s="18" customFormat="1" ht="11.1" hidden="1" customHeight="1" outlineLevel="2" x14ac:dyDescent="0.2">
      <c r="A482" s="108" t="s">
        <v>386</v>
      </c>
      <c r="B482" s="108"/>
      <c r="C482" s="108"/>
      <c r="D482" s="108"/>
      <c r="E482" s="28" t="s">
        <v>147</v>
      </c>
      <c r="F482" s="29">
        <v>20</v>
      </c>
      <c r="G482" s="30">
        <v>47558.33</v>
      </c>
      <c r="H482" s="32">
        <v>9511.67</v>
      </c>
      <c r="I482" s="30">
        <v>57070</v>
      </c>
    </row>
    <row r="483" spans="1:9" s="18" customFormat="1" ht="11.1" hidden="1" customHeight="1" outlineLevel="2" x14ac:dyDescent="0.2">
      <c r="A483" s="108" t="s">
        <v>388</v>
      </c>
      <c r="B483" s="108"/>
      <c r="C483" s="108"/>
      <c r="D483" s="108"/>
      <c r="E483" s="28" t="s">
        <v>147</v>
      </c>
      <c r="F483" s="29">
        <v>2</v>
      </c>
      <c r="G483" s="30">
        <v>2220.83</v>
      </c>
      <c r="H483" s="31">
        <v>444.17</v>
      </c>
      <c r="I483" s="30">
        <v>2665</v>
      </c>
    </row>
    <row r="484" spans="1:9" s="18" customFormat="1" ht="11.1" hidden="1" customHeight="1" outlineLevel="2" x14ac:dyDescent="0.2">
      <c r="A484" s="108" t="s">
        <v>387</v>
      </c>
      <c r="B484" s="108"/>
      <c r="C484" s="108"/>
      <c r="D484" s="108"/>
      <c r="E484" s="28" t="s">
        <v>147</v>
      </c>
      <c r="F484" s="29">
        <v>30</v>
      </c>
      <c r="G484" s="30">
        <v>18687.5</v>
      </c>
      <c r="H484" s="32">
        <v>3737.5</v>
      </c>
      <c r="I484" s="30">
        <v>22425</v>
      </c>
    </row>
    <row r="485" spans="1:9" s="18" customFormat="1" ht="11.1" hidden="1" customHeight="1" outlineLevel="2" x14ac:dyDescent="0.2">
      <c r="A485" s="108" t="s">
        <v>468</v>
      </c>
      <c r="B485" s="108"/>
      <c r="C485" s="108"/>
      <c r="D485" s="108"/>
      <c r="E485" s="28" t="s">
        <v>147</v>
      </c>
      <c r="F485" s="29">
        <v>2</v>
      </c>
      <c r="G485" s="30">
        <v>18083.330000000002</v>
      </c>
      <c r="H485" s="32">
        <v>3616.67</v>
      </c>
      <c r="I485" s="30">
        <v>21700</v>
      </c>
    </row>
    <row r="486" spans="1:9" s="18" customFormat="1" ht="11.1" hidden="1" customHeight="1" outlineLevel="2" x14ac:dyDescent="0.2">
      <c r="A486" s="108" t="s">
        <v>468</v>
      </c>
      <c r="B486" s="108"/>
      <c r="C486" s="108"/>
      <c r="D486" s="108"/>
      <c r="E486" s="28" t="s">
        <v>147</v>
      </c>
      <c r="F486" s="29">
        <v>10</v>
      </c>
      <c r="G486" s="30">
        <v>90416.67</v>
      </c>
      <c r="H486" s="32">
        <v>18083.330000000002</v>
      </c>
      <c r="I486" s="30">
        <v>108500</v>
      </c>
    </row>
    <row r="487" spans="1:9" s="18" customFormat="1" ht="11.1" hidden="1" customHeight="1" outlineLevel="2" x14ac:dyDescent="0.2">
      <c r="A487" s="108" t="s">
        <v>468</v>
      </c>
      <c r="B487" s="108"/>
      <c r="C487" s="108"/>
      <c r="D487" s="108"/>
      <c r="E487" s="28" t="s">
        <v>147</v>
      </c>
      <c r="F487" s="29">
        <v>3</v>
      </c>
      <c r="G487" s="30">
        <v>27125</v>
      </c>
      <c r="H487" s="32">
        <v>5425</v>
      </c>
      <c r="I487" s="30">
        <v>32550</v>
      </c>
    </row>
    <row r="488" spans="1:9" s="18" customFormat="1" ht="11.1" hidden="1" customHeight="1" outlineLevel="2" x14ac:dyDescent="0.2">
      <c r="A488" s="108" t="s">
        <v>469</v>
      </c>
      <c r="B488" s="108"/>
      <c r="C488" s="108"/>
      <c r="D488" s="108"/>
      <c r="E488" s="28" t="s">
        <v>147</v>
      </c>
      <c r="F488" s="29">
        <v>1</v>
      </c>
      <c r="G488" s="30">
        <v>26308.33</v>
      </c>
      <c r="H488" s="32">
        <v>5261.67</v>
      </c>
      <c r="I488" s="30">
        <v>31570</v>
      </c>
    </row>
    <row r="489" spans="1:9" s="18" customFormat="1" ht="11.1" hidden="1" customHeight="1" outlineLevel="2" x14ac:dyDescent="0.2">
      <c r="A489" s="108" t="s">
        <v>470</v>
      </c>
      <c r="B489" s="108"/>
      <c r="C489" s="108"/>
      <c r="D489" s="108"/>
      <c r="E489" s="28" t="s">
        <v>147</v>
      </c>
      <c r="F489" s="29">
        <v>4</v>
      </c>
      <c r="G489" s="30">
        <v>15491.67</v>
      </c>
      <c r="H489" s="32">
        <v>3098.33</v>
      </c>
      <c r="I489" s="30">
        <v>18590</v>
      </c>
    </row>
    <row r="490" spans="1:9" s="18" customFormat="1" ht="11.1" hidden="1" customHeight="1" outlineLevel="2" x14ac:dyDescent="0.2">
      <c r="A490" s="108" t="s">
        <v>471</v>
      </c>
      <c r="B490" s="108"/>
      <c r="C490" s="108"/>
      <c r="D490" s="108"/>
      <c r="E490" s="28" t="s">
        <v>147</v>
      </c>
      <c r="F490" s="29">
        <v>32</v>
      </c>
      <c r="G490" s="30">
        <v>46800</v>
      </c>
      <c r="H490" s="32">
        <v>9360</v>
      </c>
      <c r="I490" s="30">
        <v>56160</v>
      </c>
    </row>
    <row r="491" spans="1:9" s="18" customFormat="1" ht="11.1" hidden="1" customHeight="1" outlineLevel="2" x14ac:dyDescent="0.2">
      <c r="A491" s="108" t="s">
        <v>472</v>
      </c>
      <c r="B491" s="108"/>
      <c r="C491" s="108"/>
      <c r="D491" s="108"/>
      <c r="E491" s="28" t="s">
        <v>147</v>
      </c>
      <c r="F491" s="29">
        <v>2</v>
      </c>
      <c r="G491" s="30">
        <v>23216.67</v>
      </c>
      <c r="H491" s="32">
        <v>4643.33</v>
      </c>
      <c r="I491" s="30">
        <v>27860</v>
      </c>
    </row>
    <row r="492" spans="1:9" s="18" customFormat="1" ht="11.1" hidden="1" customHeight="1" outlineLevel="2" x14ac:dyDescent="0.2">
      <c r="A492" s="108" t="s">
        <v>473</v>
      </c>
      <c r="B492" s="108"/>
      <c r="C492" s="108"/>
      <c r="D492" s="108"/>
      <c r="E492" s="28" t="s">
        <v>147</v>
      </c>
      <c r="F492" s="29">
        <v>4</v>
      </c>
      <c r="G492" s="30">
        <v>41600</v>
      </c>
      <c r="H492" s="32">
        <v>8320</v>
      </c>
      <c r="I492" s="30">
        <v>49920</v>
      </c>
    </row>
    <row r="493" spans="1:9" s="18" customFormat="1" ht="11.1" hidden="1" customHeight="1" outlineLevel="2" x14ac:dyDescent="0.2">
      <c r="A493" s="108" t="s">
        <v>474</v>
      </c>
      <c r="B493" s="108"/>
      <c r="C493" s="108"/>
      <c r="D493" s="108"/>
      <c r="E493" s="28" t="s">
        <v>147</v>
      </c>
      <c r="F493" s="29">
        <v>1</v>
      </c>
      <c r="G493" s="30">
        <v>3244.58</v>
      </c>
      <c r="H493" s="31">
        <v>648.91999999999996</v>
      </c>
      <c r="I493" s="30">
        <v>3893.5</v>
      </c>
    </row>
    <row r="494" spans="1:9" s="18" customFormat="1" ht="11.1" hidden="1" customHeight="1" outlineLevel="2" x14ac:dyDescent="0.2">
      <c r="A494" s="108" t="s">
        <v>475</v>
      </c>
      <c r="B494" s="108"/>
      <c r="C494" s="108"/>
      <c r="D494" s="108"/>
      <c r="E494" s="28" t="s">
        <v>147</v>
      </c>
      <c r="F494" s="29">
        <v>3</v>
      </c>
      <c r="G494" s="30">
        <v>10937.5</v>
      </c>
      <c r="H494" s="32">
        <v>2187.5</v>
      </c>
      <c r="I494" s="30">
        <v>13125</v>
      </c>
    </row>
    <row r="495" spans="1:9" s="18" customFormat="1" ht="11.1" hidden="1" customHeight="1" outlineLevel="2" x14ac:dyDescent="0.2">
      <c r="A495" s="108" t="s">
        <v>476</v>
      </c>
      <c r="B495" s="108"/>
      <c r="C495" s="108"/>
      <c r="D495" s="108"/>
      <c r="E495" s="28" t="s">
        <v>147</v>
      </c>
      <c r="F495" s="29">
        <v>3</v>
      </c>
      <c r="G495" s="30">
        <v>5775</v>
      </c>
      <c r="H495" s="32">
        <v>1155</v>
      </c>
      <c r="I495" s="30">
        <v>6930</v>
      </c>
    </row>
    <row r="496" spans="1:9" s="18" customFormat="1" ht="11.1" hidden="1" customHeight="1" outlineLevel="2" x14ac:dyDescent="0.2">
      <c r="A496" s="108" t="s">
        <v>477</v>
      </c>
      <c r="B496" s="108"/>
      <c r="C496" s="108"/>
      <c r="D496" s="108"/>
      <c r="E496" s="28" t="s">
        <v>147</v>
      </c>
      <c r="F496" s="29">
        <v>1</v>
      </c>
      <c r="G496" s="30">
        <v>4360.42</v>
      </c>
      <c r="H496" s="31">
        <v>872.08</v>
      </c>
      <c r="I496" s="30">
        <v>5232.5</v>
      </c>
    </row>
    <row r="497" spans="1:10" s="18" customFormat="1" ht="11.1" hidden="1" customHeight="1" outlineLevel="2" x14ac:dyDescent="0.2">
      <c r="A497" s="108" t="s">
        <v>478</v>
      </c>
      <c r="B497" s="108"/>
      <c r="C497" s="108"/>
      <c r="D497" s="108"/>
      <c r="E497" s="28" t="s">
        <v>147</v>
      </c>
      <c r="F497" s="29">
        <v>10</v>
      </c>
      <c r="G497" s="30">
        <v>31791.67</v>
      </c>
      <c r="H497" s="32">
        <v>6358.33</v>
      </c>
      <c r="I497" s="30">
        <v>38150</v>
      </c>
    </row>
    <row r="498" spans="1:10" s="18" customFormat="1" ht="11.1" hidden="1" customHeight="1" outlineLevel="2" x14ac:dyDescent="0.2">
      <c r="A498" s="108" t="s">
        <v>479</v>
      </c>
      <c r="B498" s="108"/>
      <c r="C498" s="108"/>
      <c r="D498" s="108"/>
      <c r="E498" s="28" t="s">
        <v>147</v>
      </c>
      <c r="F498" s="29">
        <v>1</v>
      </c>
      <c r="G498" s="30">
        <v>6591.66</v>
      </c>
      <c r="H498" s="32">
        <v>1318.34</v>
      </c>
      <c r="I498" s="30">
        <v>7910</v>
      </c>
    </row>
    <row r="499" spans="1:10" s="18" customFormat="1" ht="11.1" hidden="1" customHeight="1" outlineLevel="2" x14ac:dyDescent="0.2">
      <c r="A499" s="108" t="s">
        <v>479</v>
      </c>
      <c r="B499" s="108"/>
      <c r="C499" s="108"/>
      <c r="D499" s="108"/>
      <c r="E499" s="28" t="s">
        <v>147</v>
      </c>
      <c r="F499" s="29">
        <v>1</v>
      </c>
      <c r="G499" s="30">
        <v>6591.67</v>
      </c>
      <c r="H499" s="32">
        <v>1318.33</v>
      </c>
      <c r="I499" s="30">
        <v>7910</v>
      </c>
    </row>
    <row r="500" spans="1:10" s="18" customFormat="1" ht="11.1" hidden="1" customHeight="1" outlineLevel="2" collapsed="1" x14ac:dyDescent="0.2">
      <c r="A500" s="108" t="s">
        <v>480</v>
      </c>
      <c r="B500" s="108"/>
      <c r="C500" s="108"/>
      <c r="D500" s="108"/>
      <c r="E500" s="28" t="s">
        <v>147</v>
      </c>
      <c r="F500" s="29">
        <v>10</v>
      </c>
      <c r="G500" s="30">
        <v>14000</v>
      </c>
      <c r="H500" s="32">
        <v>2800</v>
      </c>
      <c r="I500" s="30">
        <v>16800</v>
      </c>
    </row>
    <row r="501" spans="1:10" s="18" customFormat="1" ht="11.1" hidden="1" customHeight="1" outlineLevel="1" collapsed="1" x14ac:dyDescent="0.2">
      <c r="A501" s="107" t="s">
        <v>481</v>
      </c>
      <c r="B501" s="107"/>
      <c r="C501" s="107"/>
      <c r="D501" s="107"/>
      <c r="E501" s="107"/>
      <c r="F501" s="25">
        <v>20</v>
      </c>
      <c r="G501" s="26">
        <v>113226.83</v>
      </c>
      <c r="H501" s="27">
        <v>22645.37</v>
      </c>
      <c r="I501" s="39">
        <v>135872.20000000001</v>
      </c>
    </row>
    <row r="502" spans="1:10" s="18" customFormat="1" ht="11.1" hidden="1" customHeight="1" outlineLevel="2" x14ac:dyDescent="0.2">
      <c r="A502" s="108" t="s">
        <v>423</v>
      </c>
      <c r="B502" s="108"/>
      <c r="C502" s="108"/>
      <c r="D502" s="108"/>
      <c r="E502" s="28" t="s">
        <v>147</v>
      </c>
      <c r="F502" s="29">
        <v>1</v>
      </c>
      <c r="G502" s="30">
        <v>48557.67</v>
      </c>
      <c r="H502" s="32">
        <v>9711.5300000000007</v>
      </c>
      <c r="I502" s="30">
        <v>58269.2</v>
      </c>
    </row>
    <row r="503" spans="1:10" s="18" customFormat="1" ht="11.1" hidden="1" customHeight="1" outlineLevel="2" x14ac:dyDescent="0.2">
      <c r="A503" s="108" t="s">
        <v>359</v>
      </c>
      <c r="B503" s="108"/>
      <c r="C503" s="108"/>
      <c r="D503" s="108"/>
      <c r="E503" s="28" t="s">
        <v>147</v>
      </c>
      <c r="F503" s="29">
        <v>2</v>
      </c>
      <c r="G503" s="30">
        <v>12483.33</v>
      </c>
      <c r="H503" s="32">
        <v>2496.67</v>
      </c>
      <c r="I503" s="30">
        <v>14980</v>
      </c>
    </row>
    <row r="504" spans="1:10" s="18" customFormat="1" ht="11.1" hidden="1" customHeight="1" outlineLevel="2" x14ac:dyDescent="0.2">
      <c r="A504" s="108" t="s">
        <v>258</v>
      </c>
      <c r="B504" s="108"/>
      <c r="C504" s="108"/>
      <c r="D504" s="108"/>
      <c r="E504" s="28" t="s">
        <v>147</v>
      </c>
      <c r="F504" s="29">
        <v>6</v>
      </c>
      <c r="G504" s="30">
        <v>15925</v>
      </c>
      <c r="H504" s="32">
        <v>3185</v>
      </c>
      <c r="I504" s="30">
        <v>19110</v>
      </c>
    </row>
    <row r="505" spans="1:10" s="18" customFormat="1" ht="11.1" hidden="1" customHeight="1" outlineLevel="2" x14ac:dyDescent="0.2">
      <c r="A505" s="108" t="s">
        <v>482</v>
      </c>
      <c r="B505" s="108"/>
      <c r="C505" s="108"/>
      <c r="D505" s="108"/>
      <c r="E505" s="28" t="s">
        <v>147</v>
      </c>
      <c r="F505" s="29">
        <v>3</v>
      </c>
      <c r="G505" s="30">
        <v>4550</v>
      </c>
      <c r="H505" s="31">
        <v>910</v>
      </c>
      <c r="I505" s="30">
        <v>5460</v>
      </c>
    </row>
    <row r="506" spans="1:10" s="18" customFormat="1" ht="11.1" hidden="1" customHeight="1" outlineLevel="2" x14ac:dyDescent="0.2">
      <c r="A506" s="108" t="s">
        <v>236</v>
      </c>
      <c r="B506" s="108"/>
      <c r="C506" s="108"/>
      <c r="D506" s="108"/>
      <c r="E506" s="28" t="s">
        <v>147</v>
      </c>
      <c r="F506" s="29">
        <v>1</v>
      </c>
      <c r="G506" s="30">
        <v>10033.33</v>
      </c>
      <c r="H506" s="32">
        <v>2006.67</v>
      </c>
      <c r="I506" s="30">
        <v>12040</v>
      </c>
    </row>
    <row r="507" spans="1:10" s="18" customFormat="1" ht="11.1" hidden="1" customHeight="1" outlineLevel="2" x14ac:dyDescent="0.2">
      <c r="A507" s="108" t="s">
        <v>288</v>
      </c>
      <c r="B507" s="108"/>
      <c r="C507" s="108"/>
      <c r="D507" s="108"/>
      <c r="E507" s="28" t="s">
        <v>147</v>
      </c>
      <c r="F507" s="29">
        <v>2</v>
      </c>
      <c r="G507" s="30">
        <v>9197.5</v>
      </c>
      <c r="H507" s="32">
        <v>1839.5</v>
      </c>
      <c r="I507" s="30">
        <v>11037</v>
      </c>
    </row>
    <row r="508" spans="1:10" s="18" customFormat="1" ht="11.1" hidden="1" customHeight="1" outlineLevel="2" x14ac:dyDescent="0.2">
      <c r="A508" s="108" t="s">
        <v>431</v>
      </c>
      <c r="B508" s="108"/>
      <c r="C508" s="108"/>
      <c r="D508" s="108"/>
      <c r="E508" s="28" t="s">
        <v>147</v>
      </c>
      <c r="F508" s="29">
        <v>1</v>
      </c>
      <c r="G508" s="30">
        <v>7475</v>
      </c>
      <c r="H508" s="32">
        <v>1495</v>
      </c>
      <c r="I508" s="30">
        <v>8970</v>
      </c>
    </row>
    <row r="509" spans="1:10" s="18" customFormat="1" ht="11.1" hidden="1" customHeight="1" outlineLevel="2" x14ac:dyDescent="0.2">
      <c r="A509" s="108" t="s">
        <v>483</v>
      </c>
      <c r="B509" s="108"/>
      <c r="C509" s="108"/>
      <c r="D509" s="108"/>
      <c r="E509" s="28" t="s">
        <v>147</v>
      </c>
      <c r="F509" s="29">
        <v>3</v>
      </c>
      <c r="G509" s="30">
        <v>4550</v>
      </c>
      <c r="H509" s="31">
        <v>910</v>
      </c>
      <c r="I509" s="30">
        <v>5460</v>
      </c>
    </row>
    <row r="510" spans="1:10" s="18" customFormat="1" ht="11.1" hidden="1" customHeight="1" outlineLevel="2" x14ac:dyDescent="0.2">
      <c r="A510" s="108" t="s">
        <v>484</v>
      </c>
      <c r="B510" s="108"/>
      <c r="C510" s="108"/>
      <c r="D510" s="108"/>
      <c r="E510" s="28" t="s">
        <v>147</v>
      </c>
      <c r="F510" s="29">
        <v>1</v>
      </c>
      <c r="G510" s="44">
        <v>455</v>
      </c>
      <c r="H510" s="31">
        <v>91</v>
      </c>
      <c r="I510" s="44">
        <v>546</v>
      </c>
    </row>
    <row r="511" spans="1:10" ht="11.1" customHeight="1" collapsed="1" x14ac:dyDescent="0.2">
      <c r="A511" s="109" t="s">
        <v>485</v>
      </c>
      <c r="B511" s="109"/>
      <c r="C511" s="109"/>
      <c r="D511" s="109"/>
      <c r="E511" s="109"/>
      <c r="F511" s="22">
        <v>2</v>
      </c>
      <c r="G511" s="23">
        <v>8389.17</v>
      </c>
      <c r="H511" s="24">
        <v>1677.83</v>
      </c>
      <c r="I511" s="36">
        <v>10067</v>
      </c>
      <c r="J511" s="20" t="s">
        <v>1337</v>
      </c>
    </row>
    <row r="512" spans="1:10" s="18" customFormat="1" ht="11.1" hidden="1" customHeight="1" outlineLevel="1" x14ac:dyDescent="0.2">
      <c r="A512" s="107" t="s">
        <v>486</v>
      </c>
      <c r="B512" s="107"/>
      <c r="C512" s="107"/>
      <c r="D512" s="107"/>
      <c r="E512" s="107"/>
      <c r="F512" s="25">
        <v>1</v>
      </c>
      <c r="G512" s="34">
        <v>4155</v>
      </c>
      <c r="H512" s="46">
        <v>831</v>
      </c>
      <c r="I512" s="34">
        <v>4986</v>
      </c>
    </row>
    <row r="513" spans="1:10" s="18" customFormat="1" ht="11.1" hidden="1" customHeight="1" outlineLevel="2" collapsed="1" x14ac:dyDescent="0.2">
      <c r="A513" s="108" t="s">
        <v>487</v>
      </c>
      <c r="B513" s="108"/>
      <c r="C513" s="108"/>
      <c r="D513" s="108"/>
      <c r="E513" s="28" t="s">
        <v>147</v>
      </c>
      <c r="F513" s="29">
        <v>1</v>
      </c>
      <c r="G513" s="30">
        <v>4155</v>
      </c>
      <c r="H513" s="31">
        <v>831</v>
      </c>
      <c r="I513" s="30">
        <v>4986</v>
      </c>
    </row>
    <row r="514" spans="1:10" s="18" customFormat="1" ht="11.1" hidden="1" customHeight="1" outlineLevel="1" x14ac:dyDescent="0.2">
      <c r="A514" s="107" t="s">
        <v>488</v>
      </c>
      <c r="B514" s="107"/>
      <c r="C514" s="107"/>
      <c r="D514" s="107"/>
      <c r="E514" s="107"/>
      <c r="F514" s="25">
        <v>1</v>
      </c>
      <c r="G514" s="26">
        <v>4234.17</v>
      </c>
      <c r="H514" s="45">
        <v>846.83</v>
      </c>
      <c r="I514" s="34">
        <v>5081</v>
      </c>
    </row>
    <row r="515" spans="1:10" s="18" customFormat="1" ht="11.1" hidden="1" customHeight="1" outlineLevel="2" x14ac:dyDescent="0.2">
      <c r="A515" s="108" t="s">
        <v>487</v>
      </c>
      <c r="B515" s="108"/>
      <c r="C515" s="108"/>
      <c r="D515" s="108"/>
      <c r="E515" s="28" t="s">
        <v>147</v>
      </c>
      <c r="F515" s="29">
        <v>1</v>
      </c>
      <c r="G515" s="30">
        <v>4234.17</v>
      </c>
      <c r="H515" s="31">
        <v>846.83</v>
      </c>
      <c r="I515" s="30">
        <v>5081</v>
      </c>
    </row>
    <row r="516" spans="1:10" ht="11.1" customHeight="1" collapsed="1" x14ac:dyDescent="0.2">
      <c r="A516" s="109" t="s">
        <v>489</v>
      </c>
      <c r="B516" s="109"/>
      <c r="C516" s="109"/>
      <c r="D516" s="109"/>
      <c r="E516" s="109"/>
      <c r="F516" s="22">
        <v>840</v>
      </c>
      <c r="G516" s="23">
        <v>827676.62</v>
      </c>
      <c r="H516" s="24">
        <v>165535.37</v>
      </c>
      <c r="I516" s="23">
        <v>993211.99</v>
      </c>
      <c r="J516" s="20" t="s">
        <v>1335</v>
      </c>
    </row>
    <row r="517" spans="1:10" s="18" customFormat="1" ht="11.1" hidden="1" customHeight="1" outlineLevel="1" collapsed="1" x14ac:dyDescent="0.2">
      <c r="A517" s="107" t="s">
        <v>490</v>
      </c>
      <c r="B517" s="107"/>
      <c r="C517" s="107"/>
      <c r="D517" s="107"/>
      <c r="E517" s="107"/>
      <c r="F517" s="25">
        <v>1</v>
      </c>
      <c r="G517" s="26">
        <v>20408.73</v>
      </c>
      <c r="H517" s="27">
        <v>4081.75</v>
      </c>
      <c r="I517" s="26">
        <v>24490.48</v>
      </c>
    </row>
    <row r="518" spans="1:10" s="18" customFormat="1" ht="21.95" hidden="1" customHeight="1" outlineLevel="2" collapsed="1" x14ac:dyDescent="0.2">
      <c r="A518" s="108" t="s">
        <v>491</v>
      </c>
      <c r="B518" s="108"/>
      <c r="C518" s="108"/>
      <c r="D518" s="108"/>
      <c r="E518" s="28" t="s">
        <v>147</v>
      </c>
      <c r="F518" s="29">
        <v>1</v>
      </c>
      <c r="G518" s="30">
        <v>20408.73</v>
      </c>
      <c r="H518" s="32">
        <v>4081.75</v>
      </c>
      <c r="I518" s="30">
        <v>24490.48</v>
      </c>
    </row>
    <row r="519" spans="1:10" s="18" customFormat="1" ht="11.1" hidden="1" customHeight="1" outlineLevel="1" collapsed="1" x14ac:dyDescent="0.2">
      <c r="A519" s="107" t="s">
        <v>492</v>
      </c>
      <c r="B519" s="107"/>
      <c r="C519" s="107"/>
      <c r="D519" s="107"/>
      <c r="E519" s="107"/>
      <c r="F519" s="25">
        <v>10</v>
      </c>
      <c r="G519" s="26">
        <v>200176.67</v>
      </c>
      <c r="H519" s="27">
        <v>40035.33</v>
      </c>
      <c r="I519" s="34">
        <v>240212</v>
      </c>
    </row>
    <row r="520" spans="1:10" s="18" customFormat="1" ht="21.95" hidden="1" customHeight="1" outlineLevel="2" collapsed="1" x14ac:dyDescent="0.2">
      <c r="A520" s="108" t="s">
        <v>493</v>
      </c>
      <c r="B520" s="108"/>
      <c r="C520" s="108"/>
      <c r="D520" s="108"/>
      <c r="E520" s="28" t="s">
        <v>147</v>
      </c>
      <c r="F520" s="29">
        <v>10</v>
      </c>
      <c r="G520" s="30">
        <v>200176.67</v>
      </c>
      <c r="H520" s="32">
        <v>40035.33</v>
      </c>
      <c r="I520" s="30">
        <v>240212</v>
      </c>
    </row>
    <row r="521" spans="1:10" s="18" customFormat="1" ht="11.1" hidden="1" customHeight="1" outlineLevel="1" collapsed="1" x14ac:dyDescent="0.2">
      <c r="A521" s="107" t="s">
        <v>494</v>
      </c>
      <c r="B521" s="107"/>
      <c r="C521" s="107"/>
      <c r="D521" s="107"/>
      <c r="E521" s="107"/>
      <c r="F521" s="25">
        <v>6</v>
      </c>
      <c r="G521" s="26">
        <v>56096.62</v>
      </c>
      <c r="H521" s="27">
        <v>11219.33</v>
      </c>
      <c r="I521" s="26">
        <v>67315.95</v>
      </c>
    </row>
    <row r="522" spans="1:10" s="18" customFormat="1" ht="21.95" hidden="1" customHeight="1" outlineLevel="2" x14ac:dyDescent="0.2">
      <c r="A522" s="108" t="s">
        <v>495</v>
      </c>
      <c r="B522" s="108"/>
      <c r="C522" s="108"/>
      <c r="D522" s="108"/>
      <c r="E522" s="28" t="s">
        <v>147</v>
      </c>
      <c r="F522" s="29">
        <v>3</v>
      </c>
      <c r="G522" s="30">
        <v>10147.200000000001</v>
      </c>
      <c r="H522" s="32">
        <v>2029.44</v>
      </c>
      <c r="I522" s="30">
        <v>12176.64</v>
      </c>
    </row>
    <row r="523" spans="1:10" s="18" customFormat="1" ht="21.95" hidden="1" customHeight="1" outlineLevel="2" collapsed="1" x14ac:dyDescent="0.2">
      <c r="A523" s="108" t="s">
        <v>496</v>
      </c>
      <c r="B523" s="108"/>
      <c r="C523" s="108"/>
      <c r="D523" s="108"/>
      <c r="E523" s="28" t="s">
        <v>147</v>
      </c>
      <c r="F523" s="29">
        <v>3</v>
      </c>
      <c r="G523" s="30">
        <v>45949.42</v>
      </c>
      <c r="H523" s="32">
        <v>9189.89</v>
      </c>
      <c r="I523" s="30">
        <v>55139.31</v>
      </c>
    </row>
    <row r="524" spans="1:10" s="18" customFormat="1" ht="11.1" hidden="1" customHeight="1" outlineLevel="1" collapsed="1" x14ac:dyDescent="0.2">
      <c r="A524" s="107" t="s">
        <v>497</v>
      </c>
      <c r="B524" s="107"/>
      <c r="C524" s="107"/>
      <c r="D524" s="107"/>
      <c r="E524" s="107"/>
      <c r="F524" s="25">
        <v>51</v>
      </c>
      <c r="G524" s="26">
        <v>20105.57</v>
      </c>
      <c r="H524" s="27">
        <v>4021.11</v>
      </c>
      <c r="I524" s="26">
        <v>24126.68</v>
      </c>
    </row>
    <row r="525" spans="1:10" s="18" customFormat="1" ht="21.95" hidden="1" customHeight="1" outlineLevel="2" x14ac:dyDescent="0.2">
      <c r="A525" s="108" t="s">
        <v>498</v>
      </c>
      <c r="B525" s="108"/>
      <c r="C525" s="108"/>
      <c r="D525" s="108"/>
      <c r="E525" s="28" t="s">
        <v>147</v>
      </c>
      <c r="F525" s="29">
        <v>18</v>
      </c>
      <c r="G525" s="44">
        <v>675</v>
      </c>
      <c r="H525" s="31">
        <v>135</v>
      </c>
      <c r="I525" s="44">
        <v>810</v>
      </c>
    </row>
    <row r="526" spans="1:10" s="18" customFormat="1" ht="21.95" hidden="1" customHeight="1" outlineLevel="2" x14ac:dyDescent="0.2">
      <c r="A526" s="108" t="s">
        <v>499</v>
      </c>
      <c r="B526" s="108"/>
      <c r="C526" s="108"/>
      <c r="D526" s="108"/>
      <c r="E526" s="28" t="s">
        <v>147</v>
      </c>
      <c r="F526" s="29">
        <v>12</v>
      </c>
      <c r="G526" s="30">
        <v>5518</v>
      </c>
      <c r="H526" s="32">
        <v>1103.5999999999999</v>
      </c>
      <c r="I526" s="30">
        <v>6621.6</v>
      </c>
    </row>
    <row r="527" spans="1:10" s="18" customFormat="1" ht="11.1" hidden="1" customHeight="1" outlineLevel="2" x14ac:dyDescent="0.2">
      <c r="A527" s="108" t="s">
        <v>500</v>
      </c>
      <c r="B527" s="108"/>
      <c r="C527" s="108"/>
      <c r="D527" s="108"/>
      <c r="E527" s="28" t="s">
        <v>147</v>
      </c>
      <c r="F527" s="29">
        <v>6</v>
      </c>
      <c r="G527" s="30">
        <v>5120.3999999999996</v>
      </c>
      <c r="H527" s="32">
        <v>1024.08</v>
      </c>
      <c r="I527" s="30">
        <v>6144.48</v>
      </c>
    </row>
    <row r="528" spans="1:10" s="18" customFormat="1" ht="11.1" hidden="1" customHeight="1" outlineLevel="2" x14ac:dyDescent="0.2">
      <c r="A528" s="108" t="s">
        <v>501</v>
      </c>
      <c r="B528" s="108"/>
      <c r="C528" s="108"/>
      <c r="D528" s="108"/>
      <c r="E528" s="28" t="s">
        <v>147</v>
      </c>
      <c r="F528" s="29">
        <v>10</v>
      </c>
      <c r="G528" s="30">
        <v>6820.75</v>
      </c>
      <c r="H528" s="32">
        <v>1364.15</v>
      </c>
      <c r="I528" s="30">
        <v>8184.9</v>
      </c>
    </row>
    <row r="529" spans="1:9" s="18" customFormat="1" ht="11.1" hidden="1" customHeight="1" outlineLevel="2" collapsed="1" x14ac:dyDescent="0.2">
      <c r="A529" s="108" t="s">
        <v>502</v>
      </c>
      <c r="B529" s="108"/>
      <c r="C529" s="108"/>
      <c r="D529" s="108"/>
      <c r="E529" s="28" t="s">
        <v>147</v>
      </c>
      <c r="F529" s="29">
        <v>5</v>
      </c>
      <c r="G529" s="30">
        <v>1971.42</v>
      </c>
      <c r="H529" s="31">
        <v>394.28</v>
      </c>
      <c r="I529" s="30">
        <v>2365.6999999999998</v>
      </c>
    </row>
    <row r="530" spans="1:9" s="18" customFormat="1" ht="11.1" hidden="1" customHeight="1" outlineLevel="1" collapsed="1" x14ac:dyDescent="0.2">
      <c r="A530" s="107" t="s">
        <v>503</v>
      </c>
      <c r="B530" s="107"/>
      <c r="C530" s="107"/>
      <c r="D530" s="107"/>
      <c r="E530" s="107"/>
      <c r="F530" s="25">
        <v>2</v>
      </c>
      <c r="G530" s="34">
        <v>13000</v>
      </c>
      <c r="H530" s="35">
        <v>2600</v>
      </c>
      <c r="I530" s="34">
        <v>15600</v>
      </c>
    </row>
    <row r="531" spans="1:9" s="18" customFormat="1" ht="11.1" hidden="1" customHeight="1" outlineLevel="2" collapsed="1" x14ac:dyDescent="0.2">
      <c r="A531" s="108" t="s">
        <v>504</v>
      </c>
      <c r="B531" s="108"/>
      <c r="C531" s="108"/>
      <c r="D531" s="108"/>
      <c r="E531" s="28" t="s">
        <v>147</v>
      </c>
      <c r="F531" s="29">
        <v>2</v>
      </c>
      <c r="G531" s="30">
        <v>13000</v>
      </c>
      <c r="H531" s="32">
        <v>2600</v>
      </c>
      <c r="I531" s="30">
        <v>15600</v>
      </c>
    </row>
    <row r="532" spans="1:9" s="18" customFormat="1" ht="11.1" hidden="1" customHeight="1" outlineLevel="1" collapsed="1" x14ac:dyDescent="0.2">
      <c r="A532" s="107" t="s">
        <v>505</v>
      </c>
      <c r="B532" s="107"/>
      <c r="C532" s="107"/>
      <c r="D532" s="107"/>
      <c r="E532" s="107"/>
      <c r="F532" s="25">
        <v>300</v>
      </c>
      <c r="G532" s="34">
        <v>36250</v>
      </c>
      <c r="H532" s="35">
        <v>7250</v>
      </c>
      <c r="I532" s="34">
        <v>43500</v>
      </c>
    </row>
    <row r="533" spans="1:9" s="18" customFormat="1" ht="11.1" hidden="1" customHeight="1" outlineLevel="2" collapsed="1" x14ac:dyDescent="0.2">
      <c r="A533" s="108" t="s">
        <v>506</v>
      </c>
      <c r="B533" s="108"/>
      <c r="C533" s="108"/>
      <c r="D533" s="108"/>
      <c r="E533" s="28" t="s">
        <v>147</v>
      </c>
      <c r="F533" s="29">
        <v>300</v>
      </c>
      <c r="G533" s="30">
        <v>36250</v>
      </c>
      <c r="H533" s="32">
        <v>7250</v>
      </c>
      <c r="I533" s="30">
        <v>43500</v>
      </c>
    </row>
    <row r="534" spans="1:9" s="18" customFormat="1" ht="11.1" hidden="1" customHeight="1" outlineLevel="1" collapsed="1" x14ac:dyDescent="0.2">
      <c r="A534" s="107" t="s">
        <v>507</v>
      </c>
      <c r="B534" s="107"/>
      <c r="C534" s="107"/>
      <c r="D534" s="107"/>
      <c r="E534" s="107"/>
      <c r="F534" s="25">
        <v>2</v>
      </c>
      <c r="G534" s="26">
        <v>7146.73</v>
      </c>
      <c r="H534" s="27">
        <v>1429.35</v>
      </c>
      <c r="I534" s="26">
        <v>8576.08</v>
      </c>
    </row>
    <row r="535" spans="1:9" s="18" customFormat="1" ht="11.1" hidden="1" customHeight="1" outlineLevel="2" collapsed="1" x14ac:dyDescent="0.2">
      <c r="A535" s="108" t="s">
        <v>508</v>
      </c>
      <c r="B535" s="108"/>
      <c r="C535" s="108"/>
      <c r="D535" s="108"/>
      <c r="E535" s="28" t="s">
        <v>147</v>
      </c>
      <c r="F535" s="29">
        <v>2</v>
      </c>
      <c r="G535" s="30">
        <v>7146.73</v>
      </c>
      <c r="H535" s="32">
        <v>1429.35</v>
      </c>
      <c r="I535" s="30">
        <v>8576.08</v>
      </c>
    </row>
    <row r="536" spans="1:9" s="18" customFormat="1" ht="11.1" hidden="1" customHeight="1" outlineLevel="1" collapsed="1" x14ac:dyDescent="0.2">
      <c r="A536" s="107" t="s">
        <v>509</v>
      </c>
      <c r="B536" s="107"/>
      <c r="C536" s="107"/>
      <c r="D536" s="107"/>
      <c r="E536" s="107"/>
      <c r="F536" s="25">
        <v>5</v>
      </c>
      <c r="G536" s="26">
        <v>102867.04</v>
      </c>
      <c r="H536" s="27">
        <v>20573.41</v>
      </c>
      <c r="I536" s="26">
        <v>123440.45</v>
      </c>
    </row>
    <row r="537" spans="1:9" s="18" customFormat="1" ht="21.95" hidden="1" customHeight="1" outlineLevel="2" collapsed="1" x14ac:dyDescent="0.2">
      <c r="A537" s="108" t="s">
        <v>510</v>
      </c>
      <c r="B537" s="108"/>
      <c r="C537" s="108"/>
      <c r="D537" s="108"/>
      <c r="E537" s="28" t="s">
        <v>147</v>
      </c>
      <c r="F537" s="29">
        <v>5</v>
      </c>
      <c r="G537" s="30">
        <v>102867.04</v>
      </c>
      <c r="H537" s="32">
        <v>20573.41</v>
      </c>
      <c r="I537" s="30">
        <v>123440.45</v>
      </c>
    </row>
    <row r="538" spans="1:9" s="18" customFormat="1" ht="11.1" hidden="1" customHeight="1" outlineLevel="1" collapsed="1" x14ac:dyDescent="0.2">
      <c r="A538" s="107" t="s">
        <v>511</v>
      </c>
      <c r="B538" s="107"/>
      <c r="C538" s="107"/>
      <c r="D538" s="107"/>
      <c r="E538" s="107"/>
      <c r="F538" s="25">
        <v>5</v>
      </c>
      <c r="G538" s="26">
        <v>6524.12</v>
      </c>
      <c r="H538" s="27">
        <v>1304.83</v>
      </c>
      <c r="I538" s="26">
        <v>7828.95</v>
      </c>
    </row>
    <row r="539" spans="1:9" s="18" customFormat="1" ht="11.1" hidden="1" customHeight="1" outlineLevel="2" collapsed="1" x14ac:dyDescent="0.2">
      <c r="A539" s="108" t="s">
        <v>512</v>
      </c>
      <c r="B539" s="108"/>
      <c r="C539" s="108"/>
      <c r="D539" s="108"/>
      <c r="E539" s="28" t="s">
        <v>147</v>
      </c>
      <c r="F539" s="29">
        <v>5</v>
      </c>
      <c r="G539" s="30">
        <v>6524.12</v>
      </c>
      <c r="H539" s="32">
        <v>1304.83</v>
      </c>
      <c r="I539" s="30">
        <v>7828.95</v>
      </c>
    </row>
    <row r="540" spans="1:9" s="18" customFormat="1" ht="11.1" hidden="1" customHeight="1" outlineLevel="1" collapsed="1" x14ac:dyDescent="0.2">
      <c r="A540" s="107" t="s">
        <v>513</v>
      </c>
      <c r="B540" s="107"/>
      <c r="C540" s="107"/>
      <c r="D540" s="107"/>
      <c r="E540" s="107"/>
      <c r="F540" s="25">
        <v>1</v>
      </c>
      <c r="G540" s="26">
        <v>20448.68</v>
      </c>
      <c r="H540" s="27">
        <v>4089.74</v>
      </c>
      <c r="I540" s="26">
        <v>24538.42</v>
      </c>
    </row>
    <row r="541" spans="1:9" s="18" customFormat="1" ht="21.95" hidden="1" customHeight="1" outlineLevel="2" collapsed="1" x14ac:dyDescent="0.2">
      <c r="A541" s="108" t="s">
        <v>510</v>
      </c>
      <c r="B541" s="108"/>
      <c r="C541" s="108"/>
      <c r="D541" s="108"/>
      <c r="E541" s="28" t="s">
        <v>147</v>
      </c>
      <c r="F541" s="29">
        <v>1</v>
      </c>
      <c r="G541" s="30">
        <v>20448.68</v>
      </c>
      <c r="H541" s="32">
        <v>4089.74</v>
      </c>
      <c r="I541" s="30">
        <v>24538.42</v>
      </c>
    </row>
    <row r="542" spans="1:9" s="18" customFormat="1" ht="11.1" hidden="1" customHeight="1" outlineLevel="1" collapsed="1" x14ac:dyDescent="0.2">
      <c r="A542" s="107" t="s">
        <v>514</v>
      </c>
      <c r="B542" s="107"/>
      <c r="C542" s="107"/>
      <c r="D542" s="107"/>
      <c r="E542" s="107"/>
      <c r="F542" s="25">
        <v>9</v>
      </c>
      <c r="G542" s="26">
        <v>17951.47</v>
      </c>
      <c r="H542" s="40">
        <v>3590.3</v>
      </c>
      <c r="I542" s="26">
        <v>21541.77</v>
      </c>
    </row>
    <row r="543" spans="1:9" s="18" customFormat="1" ht="11.1" hidden="1" customHeight="1" outlineLevel="2" collapsed="1" x14ac:dyDescent="0.2">
      <c r="A543" s="108" t="s">
        <v>515</v>
      </c>
      <c r="B543" s="108"/>
      <c r="C543" s="108"/>
      <c r="D543" s="108"/>
      <c r="E543" s="28" t="s">
        <v>147</v>
      </c>
      <c r="F543" s="29">
        <v>9</v>
      </c>
      <c r="G543" s="30">
        <v>17951.47</v>
      </c>
      <c r="H543" s="32">
        <v>3590.3</v>
      </c>
      <c r="I543" s="30">
        <v>21541.77</v>
      </c>
    </row>
    <row r="544" spans="1:9" s="18" customFormat="1" ht="11.1" hidden="1" customHeight="1" outlineLevel="1" collapsed="1" x14ac:dyDescent="0.2">
      <c r="A544" s="107" t="s">
        <v>516</v>
      </c>
      <c r="B544" s="107"/>
      <c r="C544" s="107"/>
      <c r="D544" s="107"/>
      <c r="E544" s="107"/>
      <c r="F544" s="25">
        <v>80</v>
      </c>
      <c r="G544" s="26">
        <v>5666.66</v>
      </c>
      <c r="H544" s="27">
        <v>1133.3399999999999</v>
      </c>
      <c r="I544" s="34">
        <v>6800</v>
      </c>
    </row>
    <row r="545" spans="1:9" s="18" customFormat="1" ht="11.1" hidden="1" customHeight="1" outlineLevel="2" x14ac:dyDescent="0.2">
      <c r="A545" s="108" t="s">
        <v>517</v>
      </c>
      <c r="B545" s="108"/>
      <c r="C545" s="108"/>
      <c r="D545" s="108"/>
      <c r="E545" s="28" t="s">
        <v>147</v>
      </c>
      <c r="F545" s="29">
        <v>40</v>
      </c>
      <c r="G545" s="30">
        <v>3333.33</v>
      </c>
      <c r="H545" s="31">
        <v>666.67</v>
      </c>
      <c r="I545" s="30">
        <v>4000</v>
      </c>
    </row>
    <row r="546" spans="1:9" s="18" customFormat="1" ht="11.1" hidden="1" customHeight="1" outlineLevel="2" collapsed="1" x14ac:dyDescent="0.2">
      <c r="A546" s="108" t="s">
        <v>518</v>
      </c>
      <c r="B546" s="108"/>
      <c r="C546" s="108"/>
      <c r="D546" s="108"/>
      <c r="E546" s="28" t="s">
        <v>147</v>
      </c>
      <c r="F546" s="29">
        <v>40</v>
      </c>
      <c r="G546" s="30">
        <v>2333.33</v>
      </c>
      <c r="H546" s="31">
        <v>466.67</v>
      </c>
      <c r="I546" s="30">
        <v>2800</v>
      </c>
    </row>
    <row r="547" spans="1:9" s="18" customFormat="1" ht="11.1" hidden="1" customHeight="1" outlineLevel="1" collapsed="1" x14ac:dyDescent="0.2">
      <c r="A547" s="107" t="s">
        <v>519</v>
      </c>
      <c r="B547" s="107"/>
      <c r="C547" s="107"/>
      <c r="D547" s="107"/>
      <c r="E547" s="107"/>
      <c r="F547" s="25">
        <v>30</v>
      </c>
      <c r="G547" s="26">
        <v>17856.580000000002</v>
      </c>
      <c r="H547" s="27">
        <v>3571.32</v>
      </c>
      <c r="I547" s="39">
        <v>21427.9</v>
      </c>
    </row>
    <row r="548" spans="1:9" s="18" customFormat="1" ht="11.1" hidden="1" customHeight="1" outlineLevel="2" x14ac:dyDescent="0.2">
      <c r="A548" s="108" t="s">
        <v>520</v>
      </c>
      <c r="B548" s="108"/>
      <c r="C548" s="108"/>
      <c r="D548" s="108"/>
      <c r="E548" s="28" t="s">
        <v>147</v>
      </c>
      <c r="F548" s="29">
        <v>10</v>
      </c>
      <c r="G548" s="30">
        <v>4900.33</v>
      </c>
      <c r="H548" s="31">
        <v>980.07</v>
      </c>
      <c r="I548" s="30">
        <v>5880.4</v>
      </c>
    </row>
    <row r="549" spans="1:9" s="18" customFormat="1" ht="11.1" hidden="1" customHeight="1" outlineLevel="2" x14ac:dyDescent="0.2">
      <c r="A549" s="108" t="s">
        <v>521</v>
      </c>
      <c r="B549" s="108"/>
      <c r="C549" s="108"/>
      <c r="D549" s="108"/>
      <c r="E549" s="28" t="s">
        <v>147</v>
      </c>
      <c r="F549" s="29">
        <v>10</v>
      </c>
      <c r="G549" s="30">
        <v>4341</v>
      </c>
      <c r="H549" s="31">
        <v>868.2</v>
      </c>
      <c r="I549" s="30">
        <v>5209.2</v>
      </c>
    </row>
    <row r="550" spans="1:9" s="18" customFormat="1" ht="21.95" hidden="1" customHeight="1" outlineLevel="2" collapsed="1" x14ac:dyDescent="0.2">
      <c r="A550" s="108" t="s">
        <v>522</v>
      </c>
      <c r="B550" s="108"/>
      <c r="C550" s="108"/>
      <c r="D550" s="108"/>
      <c r="E550" s="28" t="s">
        <v>147</v>
      </c>
      <c r="F550" s="29">
        <v>10</v>
      </c>
      <c r="G550" s="30">
        <v>8615.25</v>
      </c>
      <c r="H550" s="32">
        <v>1723.05</v>
      </c>
      <c r="I550" s="30">
        <v>10338.299999999999</v>
      </c>
    </row>
    <row r="551" spans="1:9" s="18" customFormat="1" ht="11.1" hidden="1" customHeight="1" outlineLevel="1" collapsed="1" x14ac:dyDescent="0.2">
      <c r="A551" s="107" t="s">
        <v>523</v>
      </c>
      <c r="B551" s="107"/>
      <c r="C551" s="107"/>
      <c r="D551" s="107"/>
      <c r="E551" s="107"/>
      <c r="F551" s="25">
        <v>2</v>
      </c>
      <c r="G551" s="26">
        <v>2083.33</v>
      </c>
      <c r="H551" s="45">
        <v>416.67</v>
      </c>
      <c r="I551" s="34">
        <v>2500</v>
      </c>
    </row>
    <row r="552" spans="1:9" s="18" customFormat="1" ht="11.1" hidden="1" customHeight="1" outlineLevel="2" collapsed="1" x14ac:dyDescent="0.2">
      <c r="A552" s="108" t="s">
        <v>524</v>
      </c>
      <c r="B552" s="108"/>
      <c r="C552" s="108"/>
      <c r="D552" s="108"/>
      <c r="E552" s="28" t="s">
        <v>147</v>
      </c>
      <c r="F552" s="29">
        <v>2</v>
      </c>
      <c r="G552" s="30">
        <v>2083.33</v>
      </c>
      <c r="H552" s="31">
        <v>416.67</v>
      </c>
      <c r="I552" s="30">
        <v>2500</v>
      </c>
    </row>
    <row r="553" spans="1:9" s="18" customFormat="1" ht="11.1" hidden="1" customHeight="1" outlineLevel="1" collapsed="1" x14ac:dyDescent="0.2">
      <c r="A553" s="107" t="s">
        <v>525</v>
      </c>
      <c r="B553" s="107"/>
      <c r="C553" s="107"/>
      <c r="D553" s="107"/>
      <c r="E553" s="107"/>
      <c r="F553" s="25">
        <v>6</v>
      </c>
      <c r="G553" s="34">
        <v>6250</v>
      </c>
      <c r="H553" s="35">
        <v>1250</v>
      </c>
      <c r="I553" s="34">
        <v>7500</v>
      </c>
    </row>
    <row r="554" spans="1:9" s="18" customFormat="1" ht="11.1" hidden="1" customHeight="1" outlineLevel="2" collapsed="1" x14ac:dyDescent="0.2">
      <c r="A554" s="108" t="s">
        <v>524</v>
      </c>
      <c r="B554" s="108"/>
      <c r="C554" s="108"/>
      <c r="D554" s="108"/>
      <c r="E554" s="28" t="s">
        <v>147</v>
      </c>
      <c r="F554" s="29">
        <v>6</v>
      </c>
      <c r="G554" s="30">
        <v>6250</v>
      </c>
      <c r="H554" s="32">
        <v>1250</v>
      </c>
      <c r="I554" s="30">
        <v>7500</v>
      </c>
    </row>
    <row r="555" spans="1:9" s="18" customFormat="1" ht="11.1" hidden="1" customHeight="1" outlineLevel="1" collapsed="1" x14ac:dyDescent="0.2">
      <c r="A555" s="107" t="s">
        <v>526</v>
      </c>
      <c r="B555" s="107"/>
      <c r="C555" s="107"/>
      <c r="D555" s="107"/>
      <c r="E555" s="107"/>
      <c r="F555" s="25">
        <v>1</v>
      </c>
      <c r="G555" s="26">
        <v>22317.16</v>
      </c>
      <c r="H555" s="27">
        <v>4463.43</v>
      </c>
      <c r="I555" s="26">
        <v>26780.59</v>
      </c>
    </row>
    <row r="556" spans="1:9" s="18" customFormat="1" ht="21.95" hidden="1" customHeight="1" outlineLevel="2" collapsed="1" x14ac:dyDescent="0.2">
      <c r="A556" s="108" t="s">
        <v>527</v>
      </c>
      <c r="B556" s="108"/>
      <c r="C556" s="108"/>
      <c r="D556" s="108"/>
      <c r="E556" s="28" t="s">
        <v>147</v>
      </c>
      <c r="F556" s="29">
        <v>1</v>
      </c>
      <c r="G556" s="30">
        <v>22317.16</v>
      </c>
      <c r="H556" s="32">
        <v>4463.43</v>
      </c>
      <c r="I556" s="30">
        <v>26780.59</v>
      </c>
    </row>
    <row r="557" spans="1:9" s="18" customFormat="1" ht="11.1" hidden="1" customHeight="1" outlineLevel="1" collapsed="1" x14ac:dyDescent="0.2">
      <c r="A557" s="107" t="s">
        <v>528</v>
      </c>
      <c r="B557" s="107"/>
      <c r="C557" s="107"/>
      <c r="D557" s="107"/>
      <c r="E557" s="107"/>
      <c r="F557" s="25">
        <v>12</v>
      </c>
      <c r="G557" s="39">
        <v>80841.100000000006</v>
      </c>
      <c r="H557" s="27">
        <v>16168.22</v>
      </c>
      <c r="I557" s="26">
        <v>97009.32</v>
      </c>
    </row>
    <row r="558" spans="1:9" s="18" customFormat="1" ht="11.1" hidden="1" customHeight="1" outlineLevel="2" x14ac:dyDescent="0.2">
      <c r="A558" s="108" t="s">
        <v>529</v>
      </c>
      <c r="B558" s="108"/>
      <c r="C558" s="108"/>
      <c r="D558" s="108"/>
      <c r="E558" s="28" t="s">
        <v>147</v>
      </c>
      <c r="F558" s="29">
        <v>2</v>
      </c>
      <c r="G558" s="30">
        <v>17857.599999999999</v>
      </c>
      <c r="H558" s="32">
        <v>3571.52</v>
      </c>
      <c r="I558" s="30">
        <v>21429.119999999999</v>
      </c>
    </row>
    <row r="559" spans="1:9" s="18" customFormat="1" ht="11.1" hidden="1" customHeight="1" outlineLevel="2" collapsed="1" x14ac:dyDescent="0.2">
      <c r="A559" s="108" t="s">
        <v>530</v>
      </c>
      <c r="B559" s="108"/>
      <c r="C559" s="108"/>
      <c r="D559" s="108"/>
      <c r="E559" s="28" t="s">
        <v>147</v>
      </c>
      <c r="F559" s="29">
        <v>10</v>
      </c>
      <c r="G559" s="30">
        <v>62983.5</v>
      </c>
      <c r="H559" s="32">
        <v>12596.7</v>
      </c>
      <c r="I559" s="30">
        <v>75580.2</v>
      </c>
    </row>
    <row r="560" spans="1:9" s="18" customFormat="1" ht="11.1" hidden="1" customHeight="1" outlineLevel="1" collapsed="1" x14ac:dyDescent="0.2">
      <c r="A560" s="107" t="s">
        <v>531</v>
      </c>
      <c r="B560" s="107"/>
      <c r="C560" s="107"/>
      <c r="D560" s="107"/>
      <c r="E560" s="107"/>
      <c r="F560" s="25">
        <v>5</v>
      </c>
      <c r="G560" s="26">
        <v>95238.13</v>
      </c>
      <c r="H560" s="27">
        <v>19047.63</v>
      </c>
      <c r="I560" s="26">
        <v>114285.75999999999</v>
      </c>
    </row>
    <row r="561" spans="1:10" s="18" customFormat="1" ht="11.1" hidden="1" customHeight="1" outlineLevel="2" x14ac:dyDescent="0.2">
      <c r="A561" s="108" t="s">
        <v>532</v>
      </c>
      <c r="B561" s="108"/>
      <c r="C561" s="108"/>
      <c r="D561" s="108"/>
      <c r="E561" s="28" t="s">
        <v>147</v>
      </c>
      <c r="F561" s="29">
        <v>2</v>
      </c>
      <c r="G561" s="30">
        <v>73089.38</v>
      </c>
      <c r="H561" s="32">
        <v>14617.88</v>
      </c>
      <c r="I561" s="30">
        <v>87707.26</v>
      </c>
    </row>
    <row r="562" spans="1:10" s="18" customFormat="1" ht="11.1" hidden="1" customHeight="1" outlineLevel="2" collapsed="1" x14ac:dyDescent="0.2">
      <c r="A562" s="108" t="s">
        <v>533</v>
      </c>
      <c r="B562" s="108"/>
      <c r="C562" s="108"/>
      <c r="D562" s="108"/>
      <c r="E562" s="28" t="s">
        <v>147</v>
      </c>
      <c r="F562" s="29">
        <v>3</v>
      </c>
      <c r="G562" s="30">
        <v>22148.75</v>
      </c>
      <c r="H562" s="32">
        <v>4429.75</v>
      </c>
      <c r="I562" s="30">
        <v>26578.5</v>
      </c>
    </row>
    <row r="563" spans="1:10" s="18" customFormat="1" ht="11.1" hidden="1" customHeight="1" outlineLevel="1" collapsed="1" x14ac:dyDescent="0.2">
      <c r="A563" s="107" t="s">
        <v>534</v>
      </c>
      <c r="B563" s="107"/>
      <c r="C563" s="107"/>
      <c r="D563" s="107"/>
      <c r="E563" s="107"/>
      <c r="F563" s="25">
        <v>40</v>
      </c>
      <c r="G563" s="26">
        <v>24238.16</v>
      </c>
      <c r="H563" s="27">
        <v>4847.6400000000003</v>
      </c>
      <c r="I563" s="39">
        <v>29085.8</v>
      </c>
    </row>
    <row r="564" spans="1:10" s="18" customFormat="1" ht="11.1" hidden="1" customHeight="1" outlineLevel="2" x14ac:dyDescent="0.2">
      <c r="A564" s="108" t="s">
        <v>535</v>
      </c>
      <c r="B564" s="108"/>
      <c r="C564" s="108"/>
      <c r="D564" s="108"/>
      <c r="E564" s="28" t="s">
        <v>147</v>
      </c>
      <c r="F564" s="29">
        <v>20</v>
      </c>
      <c r="G564" s="30">
        <v>15539.83</v>
      </c>
      <c r="H564" s="32">
        <v>3107.97</v>
      </c>
      <c r="I564" s="30">
        <v>18647.8</v>
      </c>
    </row>
    <row r="565" spans="1:10" s="18" customFormat="1" ht="11.1" hidden="1" customHeight="1" outlineLevel="2" collapsed="1" x14ac:dyDescent="0.2">
      <c r="A565" s="108" t="s">
        <v>536</v>
      </c>
      <c r="B565" s="108"/>
      <c r="C565" s="108"/>
      <c r="D565" s="108"/>
      <c r="E565" s="28" t="s">
        <v>147</v>
      </c>
      <c r="F565" s="29">
        <v>20</v>
      </c>
      <c r="G565" s="30">
        <v>8698.33</v>
      </c>
      <c r="H565" s="32">
        <v>1739.67</v>
      </c>
      <c r="I565" s="30">
        <v>10438</v>
      </c>
    </row>
    <row r="566" spans="1:10" s="18" customFormat="1" ht="11.1" hidden="1" customHeight="1" outlineLevel="1" collapsed="1" x14ac:dyDescent="0.2">
      <c r="A566" s="107" t="s">
        <v>537</v>
      </c>
      <c r="B566" s="107"/>
      <c r="C566" s="107"/>
      <c r="D566" s="107"/>
      <c r="E566" s="107"/>
      <c r="F566" s="25">
        <v>2</v>
      </c>
      <c r="G566" s="26">
        <v>10426.950000000001</v>
      </c>
      <c r="H566" s="27">
        <v>2085.39</v>
      </c>
      <c r="I566" s="26">
        <v>12512.34</v>
      </c>
    </row>
    <row r="567" spans="1:10" s="18" customFormat="1" ht="21.95" hidden="1" customHeight="1" outlineLevel="2" collapsed="1" x14ac:dyDescent="0.2">
      <c r="A567" s="108" t="s">
        <v>538</v>
      </c>
      <c r="B567" s="108"/>
      <c r="C567" s="108"/>
      <c r="D567" s="108"/>
      <c r="E567" s="28" t="s">
        <v>147</v>
      </c>
      <c r="F567" s="29">
        <v>2</v>
      </c>
      <c r="G567" s="30">
        <v>10426.950000000001</v>
      </c>
      <c r="H567" s="32">
        <v>2085.39</v>
      </c>
      <c r="I567" s="30">
        <v>12512.34</v>
      </c>
    </row>
    <row r="568" spans="1:10" s="18" customFormat="1" ht="11.1" hidden="1" customHeight="1" outlineLevel="1" collapsed="1" x14ac:dyDescent="0.2">
      <c r="A568" s="107" t="s">
        <v>539</v>
      </c>
      <c r="B568" s="107"/>
      <c r="C568" s="107"/>
      <c r="D568" s="107"/>
      <c r="E568" s="107"/>
      <c r="F568" s="25">
        <v>200</v>
      </c>
      <c r="G568" s="26">
        <v>19833.34</v>
      </c>
      <c r="H568" s="27">
        <v>3966.66</v>
      </c>
      <c r="I568" s="34">
        <v>23800</v>
      </c>
    </row>
    <row r="569" spans="1:10" s="18" customFormat="1" ht="11.1" hidden="1" customHeight="1" outlineLevel="2" x14ac:dyDescent="0.2">
      <c r="A569" s="108" t="s">
        <v>540</v>
      </c>
      <c r="B569" s="108"/>
      <c r="C569" s="108"/>
      <c r="D569" s="108"/>
      <c r="E569" s="28" t="s">
        <v>147</v>
      </c>
      <c r="F569" s="29">
        <v>100</v>
      </c>
      <c r="G569" s="30">
        <v>17916.669999999998</v>
      </c>
      <c r="H569" s="32">
        <v>3583.33</v>
      </c>
      <c r="I569" s="30">
        <v>21500</v>
      </c>
    </row>
    <row r="570" spans="1:10" s="18" customFormat="1" ht="11.1" hidden="1" customHeight="1" outlineLevel="2" collapsed="1" x14ac:dyDescent="0.2">
      <c r="A570" s="108" t="s">
        <v>541</v>
      </c>
      <c r="B570" s="108"/>
      <c r="C570" s="108"/>
      <c r="D570" s="108"/>
      <c r="E570" s="28" t="s">
        <v>147</v>
      </c>
      <c r="F570" s="29">
        <v>100</v>
      </c>
      <c r="G570" s="30">
        <v>1916.67</v>
      </c>
      <c r="H570" s="31">
        <v>383.33</v>
      </c>
      <c r="I570" s="30">
        <v>2300</v>
      </c>
    </row>
    <row r="571" spans="1:10" s="18" customFormat="1" ht="11.1" hidden="1" customHeight="1" outlineLevel="1" collapsed="1" x14ac:dyDescent="0.2">
      <c r="A571" s="107" t="s">
        <v>542</v>
      </c>
      <c r="B571" s="107"/>
      <c r="C571" s="107"/>
      <c r="D571" s="107"/>
      <c r="E571" s="107"/>
      <c r="F571" s="25">
        <v>70</v>
      </c>
      <c r="G571" s="26">
        <v>41949.58</v>
      </c>
      <c r="H571" s="27">
        <v>8389.92</v>
      </c>
      <c r="I571" s="39">
        <v>50339.5</v>
      </c>
    </row>
    <row r="572" spans="1:10" s="18" customFormat="1" ht="11.1" hidden="1" customHeight="1" outlineLevel="2" x14ac:dyDescent="0.2">
      <c r="A572" s="108" t="s">
        <v>501</v>
      </c>
      <c r="B572" s="108"/>
      <c r="C572" s="108"/>
      <c r="D572" s="108"/>
      <c r="E572" s="28" t="s">
        <v>147</v>
      </c>
      <c r="F572" s="29">
        <v>20</v>
      </c>
      <c r="G572" s="30">
        <v>14118</v>
      </c>
      <c r="H572" s="32">
        <v>2823.6</v>
      </c>
      <c r="I572" s="30">
        <v>16941.599999999999</v>
      </c>
    </row>
    <row r="573" spans="1:10" s="18" customFormat="1" ht="11.1" hidden="1" customHeight="1" outlineLevel="2" x14ac:dyDescent="0.2">
      <c r="A573" s="108" t="s">
        <v>500</v>
      </c>
      <c r="B573" s="108"/>
      <c r="C573" s="108"/>
      <c r="D573" s="108"/>
      <c r="E573" s="28" t="s">
        <v>147</v>
      </c>
      <c r="F573" s="29">
        <v>15</v>
      </c>
      <c r="G573" s="30">
        <v>13248.25</v>
      </c>
      <c r="H573" s="32">
        <v>2649.65</v>
      </c>
      <c r="I573" s="30">
        <v>15897.9</v>
      </c>
    </row>
    <row r="574" spans="1:10" s="18" customFormat="1" ht="11.1" hidden="1" customHeight="1" outlineLevel="2" x14ac:dyDescent="0.2">
      <c r="A574" s="108" t="s">
        <v>543</v>
      </c>
      <c r="B574" s="108"/>
      <c r="C574" s="108"/>
      <c r="D574" s="108"/>
      <c r="E574" s="28" t="s">
        <v>147</v>
      </c>
      <c r="F574" s="29">
        <v>35</v>
      </c>
      <c r="G574" s="30">
        <v>14583.33</v>
      </c>
      <c r="H574" s="32">
        <v>2916.67</v>
      </c>
      <c r="I574" s="30">
        <v>17500</v>
      </c>
    </row>
    <row r="575" spans="1:10" ht="11.1" customHeight="1" collapsed="1" x14ac:dyDescent="0.2">
      <c r="A575" s="109" t="s">
        <v>544</v>
      </c>
      <c r="B575" s="109"/>
      <c r="C575" s="109"/>
      <c r="D575" s="109"/>
      <c r="E575" s="109"/>
      <c r="F575" s="22">
        <v>2</v>
      </c>
      <c r="G575" s="36">
        <v>24200</v>
      </c>
      <c r="H575" s="50"/>
      <c r="I575" s="36">
        <v>24200</v>
      </c>
      <c r="J575" s="20" t="s">
        <v>1337</v>
      </c>
    </row>
    <row r="576" spans="1:10" s="18" customFormat="1" ht="11.1" hidden="1" customHeight="1" outlineLevel="1" x14ac:dyDescent="0.2">
      <c r="A576" s="107" t="s">
        <v>545</v>
      </c>
      <c r="B576" s="107"/>
      <c r="C576" s="107"/>
      <c r="D576" s="107"/>
      <c r="E576" s="107"/>
      <c r="F576" s="25">
        <v>2</v>
      </c>
      <c r="G576" s="34">
        <v>24200</v>
      </c>
      <c r="H576" s="48"/>
      <c r="I576" s="34">
        <v>24200</v>
      </c>
    </row>
    <row r="577" spans="1:10" s="18" customFormat="1" ht="11.1" hidden="1" customHeight="1" outlineLevel="2" x14ac:dyDescent="0.2">
      <c r="A577" s="108" t="s">
        <v>546</v>
      </c>
      <c r="B577" s="108"/>
      <c r="C577" s="108"/>
      <c r="D577" s="108"/>
      <c r="E577" s="28" t="s">
        <v>547</v>
      </c>
      <c r="F577" s="29">
        <v>2</v>
      </c>
      <c r="G577" s="30">
        <v>24200</v>
      </c>
      <c r="H577" s="49"/>
      <c r="I577" s="30">
        <v>24200</v>
      </c>
    </row>
    <row r="578" spans="1:10" ht="11.1" customHeight="1" collapsed="1" x14ac:dyDescent="0.2">
      <c r="A578" s="109" t="s">
        <v>548</v>
      </c>
      <c r="B578" s="109"/>
      <c r="C578" s="109"/>
      <c r="D578" s="109"/>
      <c r="E578" s="109"/>
      <c r="F578" s="22">
        <v>20</v>
      </c>
      <c r="G578" s="36">
        <v>7700</v>
      </c>
      <c r="H578" s="37">
        <v>1540</v>
      </c>
      <c r="I578" s="36">
        <v>9240</v>
      </c>
      <c r="J578" s="20" t="s">
        <v>1336</v>
      </c>
    </row>
    <row r="579" spans="1:10" s="18" customFormat="1" ht="11.1" hidden="1" customHeight="1" outlineLevel="1" x14ac:dyDescent="0.2">
      <c r="A579" s="107" t="s">
        <v>549</v>
      </c>
      <c r="B579" s="107"/>
      <c r="C579" s="107"/>
      <c r="D579" s="107"/>
      <c r="E579" s="107"/>
      <c r="F579" s="25">
        <v>20</v>
      </c>
      <c r="G579" s="34">
        <v>7700</v>
      </c>
      <c r="H579" s="35">
        <v>1540</v>
      </c>
      <c r="I579" s="34">
        <v>9240</v>
      </c>
    </row>
    <row r="580" spans="1:10" s="18" customFormat="1" ht="11.1" hidden="1" customHeight="1" outlineLevel="2" x14ac:dyDescent="0.2">
      <c r="A580" s="108" t="s">
        <v>550</v>
      </c>
      <c r="B580" s="108"/>
      <c r="C580" s="108"/>
      <c r="D580" s="108"/>
      <c r="E580" s="28" t="s">
        <v>147</v>
      </c>
      <c r="F580" s="29">
        <v>20</v>
      </c>
      <c r="G580" s="30">
        <v>7700</v>
      </c>
      <c r="H580" s="32">
        <v>1540</v>
      </c>
      <c r="I580" s="30">
        <v>9240</v>
      </c>
    </row>
    <row r="581" spans="1:10" ht="11.1" customHeight="1" collapsed="1" x14ac:dyDescent="0.2">
      <c r="A581" s="109" t="s">
        <v>551</v>
      </c>
      <c r="B581" s="109"/>
      <c r="C581" s="109"/>
      <c r="D581" s="109"/>
      <c r="E581" s="109"/>
      <c r="F581" s="22">
        <v>5</v>
      </c>
      <c r="G581" s="23">
        <v>2009.43</v>
      </c>
      <c r="H581" s="41">
        <v>401.89</v>
      </c>
      <c r="I581" s="23">
        <v>2411.3200000000002</v>
      </c>
      <c r="J581" s="20" t="s">
        <v>1337</v>
      </c>
    </row>
    <row r="582" spans="1:10" s="18" customFormat="1" ht="11.1" hidden="1" customHeight="1" outlineLevel="1" x14ac:dyDescent="0.2">
      <c r="A582" s="107" t="s">
        <v>552</v>
      </c>
      <c r="B582" s="107"/>
      <c r="C582" s="107"/>
      <c r="D582" s="107"/>
      <c r="E582" s="107"/>
      <c r="F582" s="25">
        <v>1</v>
      </c>
      <c r="G582" s="26">
        <v>1463.33</v>
      </c>
      <c r="H582" s="45">
        <v>292.67</v>
      </c>
      <c r="I582" s="34">
        <v>1756</v>
      </c>
    </row>
    <row r="583" spans="1:10" s="18" customFormat="1" ht="11.1" hidden="1" customHeight="1" outlineLevel="2" collapsed="1" x14ac:dyDescent="0.2">
      <c r="A583" s="108" t="s">
        <v>553</v>
      </c>
      <c r="B583" s="108"/>
      <c r="C583" s="108"/>
      <c r="D583" s="108"/>
      <c r="E583" s="28" t="s">
        <v>147</v>
      </c>
      <c r="F583" s="29">
        <v>1</v>
      </c>
      <c r="G583" s="30">
        <v>1463.33</v>
      </c>
      <c r="H583" s="31">
        <v>292.67</v>
      </c>
      <c r="I583" s="30">
        <v>1756</v>
      </c>
    </row>
    <row r="584" spans="1:10" s="18" customFormat="1" ht="11.1" hidden="1" customHeight="1" outlineLevel="1" x14ac:dyDescent="0.2">
      <c r="A584" s="107" t="s">
        <v>554</v>
      </c>
      <c r="B584" s="107"/>
      <c r="C584" s="107"/>
      <c r="D584" s="107"/>
      <c r="E584" s="107"/>
      <c r="F584" s="25">
        <v>4</v>
      </c>
      <c r="G584" s="51">
        <v>546.1</v>
      </c>
      <c r="H584" s="45">
        <v>109.22</v>
      </c>
      <c r="I584" s="42">
        <v>655.32000000000005</v>
      </c>
    </row>
    <row r="585" spans="1:10" s="18" customFormat="1" ht="11.1" hidden="1" customHeight="1" outlineLevel="2" x14ac:dyDescent="0.2">
      <c r="A585" s="108" t="s">
        <v>555</v>
      </c>
      <c r="B585" s="108"/>
      <c r="C585" s="108"/>
      <c r="D585" s="108"/>
      <c r="E585" s="28" t="s">
        <v>147</v>
      </c>
      <c r="F585" s="29">
        <v>4</v>
      </c>
      <c r="G585" s="44">
        <v>546.1</v>
      </c>
      <c r="H585" s="31">
        <v>109.22</v>
      </c>
      <c r="I585" s="44">
        <v>655.32000000000005</v>
      </c>
    </row>
    <row r="586" spans="1:10" ht="11.1" customHeight="1" collapsed="1" x14ac:dyDescent="0.2">
      <c r="A586" s="109" t="s">
        <v>556</v>
      </c>
      <c r="B586" s="109"/>
      <c r="C586" s="109"/>
      <c r="D586" s="109"/>
      <c r="E586" s="109"/>
      <c r="F586" s="47">
        <v>1837</v>
      </c>
      <c r="G586" s="23">
        <v>2967534.21</v>
      </c>
      <c r="H586" s="24">
        <v>593506.79</v>
      </c>
      <c r="I586" s="36">
        <v>3561041</v>
      </c>
      <c r="J586" s="20" t="s">
        <v>1335</v>
      </c>
    </row>
    <row r="587" spans="1:10" s="18" customFormat="1" ht="11.1" hidden="1" customHeight="1" outlineLevel="1" collapsed="1" x14ac:dyDescent="0.2">
      <c r="A587" s="107" t="s">
        <v>557</v>
      </c>
      <c r="B587" s="107"/>
      <c r="C587" s="107"/>
      <c r="D587" s="107"/>
      <c r="E587" s="107"/>
      <c r="F587" s="25">
        <v>2</v>
      </c>
      <c r="G587" s="26">
        <v>29333.33</v>
      </c>
      <c r="H587" s="27">
        <v>5866.67</v>
      </c>
      <c r="I587" s="34">
        <v>35200</v>
      </c>
    </row>
    <row r="588" spans="1:10" s="18" customFormat="1" ht="11.1" hidden="1" customHeight="1" outlineLevel="2" collapsed="1" x14ac:dyDescent="0.2">
      <c r="A588" s="108" t="s">
        <v>558</v>
      </c>
      <c r="B588" s="108"/>
      <c r="C588" s="108"/>
      <c r="D588" s="108"/>
      <c r="E588" s="28" t="s">
        <v>147</v>
      </c>
      <c r="F588" s="29">
        <v>2</v>
      </c>
      <c r="G588" s="30">
        <v>29333.33</v>
      </c>
      <c r="H588" s="32">
        <v>5866.67</v>
      </c>
      <c r="I588" s="30">
        <v>35200</v>
      </c>
    </row>
    <row r="589" spans="1:10" s="18" customFormat="1" ht="11.1" hidden="1" customHeight="1" outlineLevel="1" collapsed="1" x14ac:dyDescent="0.2">
      <c r="A589" s="107" t="s">
        <v>559</v>
      </c>
      <c r="B589" s="107"/>
      <c r="C589" s="107"/>
      <c r="D589" s="107"/>
      <c r="E589" s="107"/>
      <c r="F589" s="25">
        <v>31</v>
      </c>
      <c r="G589" s="26">
        <v>32433.33</v>
      </c>
      <c r="H589" s="27">
        <v>6486.67</v>
      </c>
      <c r="I589" s="34">
        <v>38920</v>
      </c>
    </row>
    <row r="590" spans="1:10" s="18" customFormat="1" ht="21.95" hidden="1" customHeight="1" outlineLevel="2" x14ac:dyDescent="0.2">
      <c r="A590" s="108" t="s">
        <v>560</v>
      </c>
      <c r="B590" s="108"/>
      <c r="C590" s="108"/>
      <c r="D590" s="108"/>
      <c r="E590" s="28" t="s">
        <v>147</v>
      </c>
      <c r="F590" s="29">
        <v>1</v>
      </c>
      <c r="G590" s="30">
        <v>1833.33</v>
      </c>
      <c r="H590" s="31">
        <v>366.67</v>
      </c>
      <c r="I590" s="30">
        <v>2200</v>
      </c>
    </row>
    <row r="591" spans="1:10" s="18" customFormat="1" ht="11.1" hidden="1" customHeight="1" outlineLevel="2" x14ac:dyDescent="0.2">
      <c r="A591" s="108" t="s">
        <v>561</v>
      </c>
      <c r="B591" s="108"/>
      <c r="C591" s="108"/>
      <c r="D591" s="108"/>
      <c r="E591" s="28" t="s">
        <v>147</v>
      </c>
      <c r="F591" s="29">
        <v>12</v>
      </c>
      <c r="G591" s="30">
        <v>17600</v>
      </c>
      <c r="H591" s="32">
        <v>3520</v>
      </c>
      <c r="I591" s="30">
        <v>21120</v>
      </c>
    </row>
    <row r="592" spans="1:10" s="18" customFormat="1" ht="21.95" hidden="1" customHeight="1" outlineLevel="2" x14ac:dyDescent="0.2">
      <c r="A592" s="108" t="s">
        <v>562</v>
      </c>
      <c r="B592" s="108"/>
      <c r="C592" s="108"/>
      <c r="D592" s="108"/>
      <c r="E592" s="28" t="s">
        <v>147</v>
      </c>
      <c r="F592" s="29">
        <v>3</v>
      </c>
      <c r="G592" s="30">
        <v>5250</v>
      </c>
      <c r="H592" s="32">
        <v>1050</v>
      </c>
      <c r="I592" s="30">
        <v>6300</v>
      </c>
    </row>
    <row r="593" spans="1:9" s="18" customFormat="1" ht="11.1" hidden="1" customHeight="1" outlineLevel="2" x14ac:dyDescent="0.2">
      <c r="A593" s="108" t="s">
        <v>563</v>
      </c>
      <c r="B593" s="108"/>
      <c r="C593" s="108"/>
      <c r="D593" s="108"/>
      <c r="E593" s="28" t="s">
        <v>147</v>
      </c>
      <c r="F593" s="29">
        <v>2</v>
      </c>
      <c r="G593" s="44">
        <v>950</v>
      </c>
      <c r="H593" s="31">
        <v>190</v>
      </c>
      <c r="I593" s="30">
        <v>1140</v>
      </c>
    </row>
    <row r="594" spans="1:9" s="18" customFormat="1" ht="11.1" hidden="1" customHeight="1" outlineLevel="2" x14ac:dyDescent="0.2">
      <c r="A594" s="108" t="s">
        <v>564</v>
      </c>
      <c r="B594" s="108"/>
      <c r="C594" s="108"/>
      <c r="D594" s="108"/>
      <c r="E594" s="28" t="s">
        <v>147</v>
      </c>
      <c r="F594" s="29">
        <v>2</v>
      </c>
      <c r="G594" s="30">
        <v>2633.33</v>
      </c>
      <c r="H594" s="31">
        <v>526.66999999999996</v>
      </c>
      <c r="I594" s="30">
        <v>3160</v>
      </c>
    </row>
    <row r="595" spans="1:9" s="18" customFormat="1" ht="11.1" hidden="1" customHeight="1" outlineLevel="2" x14ac:dyDescent="0.2">
      <c r="A595" s="108" t="s">
        <v>565</v>
      </c>
      <c r="B595" s="108"/>
      <c r="C595" s="108"/>
      <c r="D595" s="108"/>
      <c r="E595" s="28" t="s">
        <v>147</v>
      </c>
      <c r="F595" s="29">
        <v>4</v>
      </c>
      <c r="G595" s="30">
        <v>1166.67</v>
      </c>
      <c r="H595" s="31">
        <v>233.33</v>
      </c>
      <c r="I595" s="30">
        <v>1400</v>
      </c>
    </row>
    <row r="596" spans="1:9" s="18" customFormat="1" ht="11.1" hidden="1" customHeight="1" outlineLevel="2" x14ac:dyDescent="0.2">
      <c r="A596" s="108" t="s">
        <v>566</v>
      </c>
      <c r="B596" s="108"/>
      <c r="C596" s="108"/>
      <c r="D596" s="108"/>
      <c r="E596" s="28" t="s">
        <v>147</v>
      </c>
      <c r="F596" s="29">
        <v>1</v>
      </c>
      <c r="G596" s="44">
        <v>716.67</v>
      </c>
      <c r="H596" s="31">
        <v>143.33000000000001</v>
      </c>
      <c r="I596" s="44">
        <v>860</v>
      </c>
    </row>
    <row r="597" spans="1:9" s="18" customFormat="1" ht="11.1" hidden="1" customHeight="1" outlineLevel="2" x14ac:dyDescent="0.2">
      <c r="A597" s="108" t="s">
        <v>567</v>
      </c>
      <c r="B597" s="108"/>
      <c r="C597" s="108"/>
      <c r="D597" s="108"/>
      <c r="E597" s="28" t="s">
        <v>147</v>
      </c>
      <c r="F597" s="29">
        <v>2</v>
      </c>
      <c r="G597" s="44">
        <v>800</v>
      </c>
      <c r="H597" s="31">
        <v>160</v>
      </c>
      <c r="I597" s="44">
        <v>960</v>
      </c>
    </row>
    <row r="598" spans="1:9" s="18" customFormat="1" ht="11.1" hidden="1" customHeight="1" outlineLevel="2" collapsed="1" x14ac:dyDescent="0.2">
      <c r="A598" s="108" t="s">
        <v>568</v>
      </c>
      <c r="B598" s="108"/>
      <c r="C598" s="108"/>
      <c r="D598" s="108"/>
      <c r="E598" s="28" t="s">
        <v>147</v>
      </c>
      <c r="F598" s="29">
        <v>4</v>
      </c>
      <c r="G598" s="30">
        <v>1483.33</v>
      </c>
      <c r="H598" s="31">
        <v>296.67</v>
      </c>
      <c r="I598" s="30">
        <v>1780</v>
      </c>
    </row>
    <row r="599" spans="1:9" s="18" customFormat="1" ht="11.1" hidden="1" customHeight="1" outlineLevel="1" collapsed="1" x14ac:dyDescent="0.2">
      <c r="A599" s="107" t="s">
        <v>569</v>
      </c>
      <c r="B599" s="107"/>
      <c r="C599" s="107"/>
      <c r="D599" s="107"/>
      <c r="E599" s="107"/>
      <c r="F599" s="25">
        <v>40</v>
      </c>
      <c r="G599" s="26">
        <v>25945.83</v>
      </c>
      <c r="H599" s="27">
        <v>5189.17</v>
      </c>
      <c r="I599" s="34">
        <v>31135</v>
      </c>
    </row>
    <row r="600" spans="1:9" s="18" customFormat="1" ht="21.95" hidden="1" customHeight="1" outlineLevel="2" x14ac:dyDescent="0.2">
      <c r="A600" s="108" t="s">
        <v>570</v>
      </c>
      <c r="B600" s="108"/>
      <c r="C600" s="108"/>
      <c r="D600" s="108"/>
      <c r="E600" s="28" t="s">
        <v>147</v>
      </c>
      <c r="F600" s="29">
        <v>6</v>
      </c>
      <c r="G600" s="30">
        <v>7600</v>
      </c>
      <c r="H600" s="32">
        <v>1520</v>
      </c>
      <c r="I600" s="30">
        <v>9120</v>
      </c>
    </row>
    <row r="601" spans="1:9" s="18" customFormat="1" ht="21.95" hidden="1" customHeight="1" outlineLevel="2" x14ac:dyDescent="0.2">
      <c r="A601" s="108" t="s">
        <v>571</v>
      </c>
      <c r="B601" s="108"/>
      <c r="C601" s="108"/>
      <c r="D601" s="108"/>
      <c r="E601" s="28" t="s">
        <v>147</v>
      </c>
      <c r="F601" s="29">
        <v>3</v>
      </c>
      <c r="G601" s="30">
        <v>2212.5</v>
      </c>
      <c r="H601" s="31">
        <v>442.5</v>
      </c>
      <c r="I601" s="30">
        <v>2655</v>
      </c>
    </row>
    <row r="602" spans="1:9" s="18" customFormat="1" ht="21.95" hidden="1" customHeight="1" outlineLevel="2" x14ac:dyDescent="0.2">
      <c r="A602" s="108" t="s">
        <v>572</v>
      </c>
      <c r="B602" s="108"/>
      <c r="C602" s="108"/>
      <c r="D602" s="108"/>
      <c r="E602" s="28" t="s">
        <v>147</v>
      </c>
      <c r="F602" s="29">
        <v>3</v>
      </c>
      <c r="G602" s="30">
        <v>6050</v>
      </c>
      <c r="H602" s="32">
        <v>1210</v>
      </c>
      <c r="I602" s="30">
        <v>7260</v>
      </c>
    </row>
    <row r="603" spans="1:9" s="18" customFormat="1" ht="21.95" hidden="1" customHeight="1" outlineLevel="2" x14ac:dyDescent="0.2">
      <c r="A603" s="108" t="s">
        <v>573</v>
      </c>
      <c r="B603" s="108"/>
      <c r="C603" s="108"/>
      <c r="D603" s="108"/>
      <c r="E603" s="28" t="s">
        <v>147</v>
      </c>
      <c r="F603" s="29">
        <v>4</v>
      </c>
      <c r="G603" s="30">
        <v>1450</v>
      </c>
      <c r="H603" s="31">
        <v>290</v>
      </c>
      <c r="I603" s="30">
        <v>1740</v>
      </c>
    </row>
    <row r="604" spans="1:9" s="18" customFormat="1" ht="21.95" hidden="1" customHeight="1" outlineLevel="2" x14ac:dyDescent="0.2">
      <c r="A604" s="108" t="s">
        <v>574</v>
      </c>
      <c r="B604" s="108"/>
      <c r="C604" s="108"/>
      <c r="D604" s="108"/>
      <c r="E604" s="28" t="s">
        <v>147</v>
      </c>
      <c r="F604" s="29">
        <v>3</v>
      </c>
      <c r="G604" s="30">
        <v>4950</v>
      </c>
      <c r="H604" s="31">
        <v>990</v>
      </c>
      <c r="I604" s="30">
        <v>5940</v>
      </c>
    </row>
    <row r="605" spans="1:9" s="18" customFormat="1" ht="11.1" hidden="1" customHeight="1" outlineLevel="2" x14ac:dyDescent="0.2">
      <c r="A605" s="108" t="s">
        <v>575</v>
      </c>
      <c r="B605" s="108"/>
      <c r="C605" s="108"/>
      <c r="D605" s="108"/>
      <c r="E605" s="28" t="s">
        <v>147</v>
      </c>
      <c r="F605" s="29">
        <v>1</v>
      </c>
      <c r="G605" s="30">
        <v>1500</v>
      </c>
      <c r="H605" s="31">
        <v>300</v>
      </c>
      <c r="I605" s="30">
        <v>1800</v>
      </c>
    </row>
    <row r="606" spans="1:9" s="18" customFormat="1" ht="21.95" hidden="1" customHeight="1" outlineLevel="2" collapsed="1" x14ac:dyDescent="0.2">
      <c r="A606" s="108" t="s">
        <v>576</v>
      </c>
      <c r="B606" s="108"/>
      <c r="C606" s="108"/>
      <c r="D606" s="108"/>
      <c r="E606" s="28" t="s">
        <v>147</v>
      </c>
      <c r="F606" s="29">
        <v>20</v>
      </c>
      <c r="G606" s="30">
        <v>2183.33</v>
      </c>
      <c r="H606" s="31">
        <v>436.67</v>
      </c>
      <c r="I606" s="30">
        <v>2620</v>
      </c>
    </row>
    <row r="607" spans="1:9" s="18" customFormat="1" ht="11.1" hidden="1" customHeight="1" outlineLevel="1" collapsed="1" x14ac:dyDescent="0.2">
      <c r="A607" s="107" t="s">
        <v>577</v>
      </c>
      <c r="B607" s="107"/>
      <c r="C607" s="107"/>
      <c r="D607" s="107"/>
      <c r="E607" s="107"/>
      <c r="F607" s="25">
        <v>2</v>
      </c>
      <c r="G607" s="34">
        <v>1100</v>
      </c>
      <c r="H607" s="46">
        <v>220</v>
      </c>
      <c r="I607" s="34">
        <v>1320</v>
      </c>
    </row>
    <row r="608" spans="1:9" s="18" customFormat="1" ht="21.95" hidden="1" customHeight="1" outlineLevel="2" x14ac:dyDescent="0.2">
      <c r="A608" s="108" t="s">
        <v>573</v>
      </c>
      <c r="B608" s="108"/>
      <c r="C608" s="108"/>
      <c r="D608" s="108"/>
      <c r="E608" s="28" t="s">
        <v>147</v>
      </c>
      <c r="F608" s="29">
        <v>1</v>
      </c>
      <c r="G608" s="44">
        <v>362.5</v>
      </c>
      <c r="H608" s="31">
        <v>72.5</v>
      </c>
      <c r="I608" s="44">
        <v>435</v>
      </c>
    </row>
    <row r="609" spans="1:9" s="18" customFormat="1" ht="11.1" hidden="1" customHeight="1" outlineLevel="2" collapsed="1" x14ac:dyDescent="0.2">
      <c r="A609" s="108" t="s">
        <v>578</v>
      </c>
      <c r="B609" s="108"/>
      <c r="C609" s="108"/>
      <c r="D609" s="108"/>
      <c r="E609" s="28" t="s">
        <v>147</v>
      </c>
      <c r="F609" s="29">
        <v>1</v>
      </c>
      <c r="G609" s="44">
        <v>737.5</v>
      </c>
      <c r="H609" s="31">
        <v>147.5</v>
      </c>
      <c r="I609" s="44">
        <v>885</v>
      </c>
    </row>
    <row r="610" spans="1:9" s="18" customFormat="1" ht="11.1" hidden="1" customHeight="1" outlineLevel="1" collapsed="1" x14ac:dyDescent="0.2">
      <c r="A610" s="107" t="s">
        <v>579</v>
      </c>
      <c r="B610" s="107"/>
      <c r="C610" s="107"/>
      <c r="D610" s="107"/>
      <c r="E610" s="107"/>
      <c r="F610" s="25">
        <v>10</v>
      </c>
      <c r="G610" s="34">
        <v>11400</v>
      </c>
      <c r="H610" s="35">
        <v>2280</v>
      </c>
      <c r="I610" s="34">
        <v>13680</v>
      </c>
    </row>
    <row r="611" spans="1:9" s="18" customFormat="1" ht="21.95" hidden="1" customHeight="1" outlineLevel="2" collapsed="1" x14ac:dyDescent="0.2">
      <c r="A611" s="108" t="s">
        <v>580</v>
      </c>
      <c r="B611" s="108"/>
      <c r="C611" s="108"/>
      <c r="D611" s="108"/>
      <c r="E611" s="28" t="s">
        <v>147</v>
      </c>
      <c r="F611" s="29">
        <v>10</v>
      </c>
      <c r="G611" s="30">
        <v>11400</v>
      </c>
      <c r="H611" s="32">
        <v>2280</v>
      </c>
      <c r="I611" s="30">
        <v>13680</v>
      </c>
    </row>
    <row r="612" spans="1:9" s="18" customFormat="1" ht="11.1" hidden="1" customHeight="1" outlineLevel="1" collapsed="1" x14ac:dyDescent="0.2">
      <c r="A612" s="107" t="s">
        <v>581</v>
      </c>
      <c r="B612" s="107"/>
      <c r="C612" s="107"/>
      <c r="D612" s="107"/>
      <c r="E612" s="107"/>
      <c r="F612" s="25">
        <v>40</v>
      </c>
      <c r="G612" s="26">
        <v>3866.67</v>
      </c>
      <c r="H612" s="45">
        <v>773.33</v>
      </c>
      <c r="I612" s="34">
        <v>4640</v>
      </c>
    </row>
    <row r="613" spans="1:9" s="18" customFormat="1" ht="11.1" hidden="1" customHeight="1" outlineLevel="2" collapsed="1" x14ac:dyDescent="0.2">
      <c r="A613" s="108" t="s">
        <v>582</v>
      </c>
      <c r="B613" s="108"/>
      <c r="C613" s="108"/>
      <c r="D613" s="108"/>
      <c r="E613" s="28" t="s">
        <v>147</v>
      </c>
      <c r="F613" s="29">
        <v>40</v>
      </c>
      <c r="G613" s="30">
        <v>3866.67</v>
      </c>
      <c r="H613" s="31">
        <v>773.33</v>
      </c>
      <c r="I613" s="30">
        <v>4640</v>
      </c>
    </row>
    <row r="614" spans="1:9" s="18" customFormat="1" ht="11.1" hidden="1" customHeight="1" outlineLevel="1" collapsed="1" x14ac:dyDescent="0.2">
      <c r="A614" s="107" t="s">
        <v>583</v>
      </c>
      <c r="B614" s="107"/>
      <c r="C614" s="107"/>
      <c r="D614" s="107"/>
      <c r="E614" s="107"/>
      <c r="F614" s="25">
        <v>2</v>
      </c>
      <c r="G614" s="26">
        <v>1566.67</v>
      </c>
      <c r="H614" s="45">
        <v>313.33</v>
      </c>
      <c r="I614" s="34">
        <v>1880</v>
      </c>
    </row>
    <row r="615" spans="1:9" s="18" customFormat="1" ht="21.95" hidden="1" customHeight="1" outlineLevel="2" x14ac:dyDescent="0.2">
      <c r="A615" s="108" t="s">
        <v>584</v>
      </c>
      <c r="B615" s="108"/>
      <c r="C615" s="108"/>
      <c r="D615" s="108"/>
      <c r="E615" s="28" t="s">
        <v>147</v>
      </c>
      <c r="F615" s="29">
        <v>1</v>
      </c>
      <c r="G615" s="44">
        <v>841.67</v>
      </c>
      <c r="H615" s="31">
        <v>168.33</v>
      </c>
      <c r="I615" s="30">
        <v>1010</v>
      </c>
    </row>
    <row r="616" spans="1:9" s="18" customFormat="1" ht="21.95" hidden="1" customHeight="1" outlineLevel="2" collapsed="1" x14ac:dyDescent="0.2">
      <c r="A616" s="108" t="s">
        <v>585</v>
      </c>
      <c r="B616" s="108"/>
      <c r="C616" s="108"/>
      <c r="D616" s="108"/>
      <c r="E616" s="28" t="s">
        <v>147</v>
      </c>
      <c r="F616" s="29">
        <v>1</v>
      </c>
      <c r="G616" s="44">
        <v>725</v>
      </c>
      <c r="H616" s="31">
        <v>145</v>
      </c>
      <c r="I616" s="44">
        <v>870</v>
      </c>
    </row>
    <row r="617" spans="1:9" s="18" customFormat="1" ht="11.1" hidden="1" customHeight="1" outlineLevel="1" collapsed="1" x14ac:dyDescent="0.2">
      <c r="A617" s="107" t="s">
        <v>586</v>
      </c>
      <c r="B617" s="107"/>
      <c r="C617" s="107"/>
      <c r="D617" s="107"/>
      <c r="E617" s="107"/>
      <c r="F617" s="25">
        <v>178</v>
      </c>
      <c r="G617" s="26">
        <v>309366.67</v>
      </c>
      <c r="H617" s="27">
        <v>61873.33</v>
      </c>
      <c r="I617" s="34">
        <v>371240</v>
      </c>
    </row>
    <row r="618" spans="1:9" s="18" customFormat="1" ht="11.1" hidden="1" customHeight="1" outlineLevel="2" x14ac:dyDescent="0.2">
      <c r="A618" s="108" t="s">
        <v>587</v>
      </c>
      <c r="B618" s="108"/>
      <c r="C618" s="108"/>
      <c r="D618" s="108"/>
      <c r="E618" s="28" t="s">
        <v>147</v>
      </c>
      <c r="F618" s="29">
        <v>26</v>
      </c>
      <c r="G618" s="30">
        <v>36400</v>
      </c>
      <c r="H618" s="32">
        <v>7280</v>
      </c>
      <c r="I618" s="30">
        <v>43680</v>
      </c>
    </row>
    <row r="619" spans="1:9" s="18" customFormat="1" ht="21.95" hidden="1" customHeight="1" outlineLevel="2" x14ac:dyDescent="0.2">
      <c r="A619" s="108" t="s">
        <v>562</v>
      </c>
      <c r="B619" s="108"/>
      <c r="C619" s="108"/>
      <c r="D619" s="108"/>
      <c r="E619" s="28" t="s">
        <v>147</v>
      </c>
      <c r="F619" s="29">
        <v>133</v>
      </c>
      <c r="G619" s="30">
        <v>232750</v>
      </c>
      <c r="H619" s="32">
        <v>46550</v>
      </c>
      <c r="I619" s="30">
        <v>279300</v>
      </c>
    </row>
    <row r="620" spans="1:9" s="18" customFormat="1" ht="11.1" hidden="1" customHeight="1" outlineLevel="2" collapsed="1" x14ac:dyDescent="0.2">
      <c r="A620" s="108" t="s">
        <v>588</v>
      </c>
      <c r="B620" s="108"/>
      <c r="C620" s="108"/>
      <c r="D620" s="108"/>
      <c r="E620" s="28" t="s">
        <v>147</v>
      </c>
      <c r="F620" s="29">
        <v>19</v>
      </c>
      <c r="G620" s="30">
        <v>40216.67</v>
      </c>
      <c r="H620" s="32">
        <v>8043.33</v>
      </c>
      <c r="I620" s="30">
        <v>48260</v>
      </c>
    </row>
    <row r="621" spans="1:9" s="18" customFormat="1" ht="11.1" hidden="1" customHeight="1" outlineLevel="1" collapsed="1" x14ac:dyDescent="0.2">
      <c r="A621" s="107" t="s">
        <v>589</v>
      </c>
      <c r="B621" s="107"/>
      <c r="C621" s="107"/>
      <c r="D621" s="107"/>
      <c r="E621" s="107"/>
      <c r="F621" s="25">
        <v>38</v>
      </c>
      <c r="G621" s="34">
        <v>57400</v>
      </c>
      <c r="H621" s="35">
        <v>11480</v>
      </c>
      <c r="I621" s="34">
        <v>68880</v>
      </c>
    </row>
    <row r="622" spans="1:9" s="18" customFormat="1" ht="21.95" hidden="1" customHeight="1" outlineLevel="2" x14ac:dyDescent="0.2">
      <c r="A622" s="108" t="s">
        <v>562</v>
      </c>
      <c r="B622" s="108"/>
      <c r="C622" s="108"/>
      <c r="D622" s="108"/>
      <c r="E622" s="28" t="s">
        <v>147</v>
      </c>
      <c r="F622" s="29">
        <v>12</v>
      </c>
      <c r="G622" s="30">
        <v>21000</v>
      </c>
      <c r="H622" s="32">
        <v>4200</v>
      </c>
      <c r="I622" s="30">
        <v>25200</v>
      </c>
    </row>
    <row r="623" spans="1:9" s="18" customFormat="1" ht="11.1" hidden="1" customHeight="1" outlineLevel="2" collapsed="1" x14ac:dyDescent="0.2">
      <c r="A623" s="108" t="s">
        <v>587</v>
      </c>
      <c r="B623" s="108"/>
      <c r="C623" s="108"/>
      <c r="D623" s="108"/>
      <c r="E623" s="28" t="s">
        <v>147</v>
      </c>
      <c r="F623" s="29">
        <v>26</v>
      </c>
      <c r="G623" s="30">
        <v>36400</v>
      </c>
      <c r="H623" s="32">
        <v>7280</v>
      </c>
      <c r="I623" s="30">
        <v>43680</v>
      </c>
    </row>
    <row r="624" spans="1:9" s="18" customFormat="1" ht="11.1" hidden="1" customHeight="1" outlineLevel="1" collapsed="1" x14ac:dyDescent="0.2">
      <c r="A624" s="107" t="s">
        <v>590</v>
      </c>
      <c r="B624" s="107"/>
      <c r="C624" s="107"/>
      <c r="D624" s="107"/>
      <c r="E624" s="107"/>
      <c r="F624" s="25">
        <v>20</v>
      </c>
      <c r="G624" s="26">
        <v>42333.33</v>
      </c>
      <c r="H624" s="27">
        <v>8466.67</v>
      </c>
      <c r="I624" s="34">
        <v>50800</v>
      </c>
    </row>
    <row r="625" spans="1:9" s="18" customFormat="1" ht="11.1" hidden="1" customHeight="1" outlineLevel="2" collapsed="1" x14ac:dyDescent="0.2">
      <c r="A625" s="108" t="s">
        <v>588</v>
      </c>
      <c r="B625" s="108"/>
      <c r="C625" s="108"/>
      <c r="D625" s="108"/>
      <c r="E625" s="28" t="s">
        <v>147</v>
      </c>
      <c r="F625" s="29">
        <v>20</v>
      </c>
      <c r="G625" s="30">
        <v>42333.33</v>
      </c>
      <c r="H625" s="32">
        <v>8466.67</v>
      </c>
      <c r="I625" s="30">
        <v>50800</v>
      </c>
    </row>
    <row r="626" spans="1:9" s="18" customFormat="1" ht="11.1" hidden="1" customHeight="1" outlineLevel="1" collapsed="1" x14ac:dyDescent="0.2">
      <c r="A626" s="107" t="s">
        <v>591</v>
      </c>
      <c r="B626" s="107"/>
      <c r="C626" s="107"/>
      <c r="D626" s="107"/>
      <c r="E626" s="107"/>
      <c r="F626" s="25">
        <v>2</v>
      </c>
      <c r="G626" s="34">
        <v>1475</v>
      </c>
      <c r="H626" s="46">
        <v>295</v>
      </c>
      <c r="I626" s="34">
        <v>1770</v>
      </c>
    </row>
    <row r="627" spans="1:9" s="18" customFormat="1" ht="21.95" hidden="1" customHeight="1" outlineLevel="2" collapsed="1" x14ac:dyDescent="0.2">
      <c r="A627" s="108" t="s">
        <v>571</v>
      </c>
      <c r="B627" s="108"/>
      <c r="C627" s="108"/>
      <c r="D627" s="108"/>
      <c r="E627" s="28" t="s">
        <v>147</v>
      </c>
      <c r="F627" s="29">
        <v>2</v>
      </c>
      <c r="G627" s="30">
        <v>1475</v>
      </c>
      <c r="H627" s="31">
        <v>295</v>
      </c>
      <c r="I627" s="30">
        <v>1770</v>
      </c>
    </row>
    <row r="628" spans="1:9" s="18" customFormat="1" ht="11.1" hidden="1" customHeight="1" outlineLevel="1" collapsed="1" x14ac:dyDescent="0.2">
      <c r="A628" s="107" t="s">
        <v>592</v>
      </c>
      <c r="B628" s="107"/>
      <c r="C628" s="107"/>
      <c r="D628" s="107"/>
      <c r="E628" s="107"/>
      <c r="F628" s="25">
        <v>18</v>
      </c>
      <c r="G628" s="26">
        <v>30366.67</v>
      </c>
      <c r="H628" s="27">
        <v>6073.33</v>
      </c>
      <c r="I628" s="34">
        <v>36440</v>
      </c>
    </row>
    <row r="629" spans="1:9" s="18" customFormat="1" ht="21.95" hidden="1" customHeight="1" outlineLevel="2" x14ac:dyDescent="0.2">
      <c r="A629" s="108" t="s">
        <v>593</v>
      </c>
      <c r="B629" s="108"/>
      <c r="C629" s="108"/>
      <c r="D629" s="108"/>
      <c r="E629" s="28" t="s">
        <v>147</v>
      </c>
      <c r="F629" s="29">
        <v>8</v>
      </c>
      <c r="G629" s="30">
        <v>15200</v>
      </c>
      <c r="H629" s="32">
        <v>3040</v>
      </c>
      <c r="I629" s="30">
        <v>18240</v>
      </c>
    </row>
    <row r="630" spans="1:9" s="18" customFormat="1" ht="11.1" hidden="1" customHeight="1" outlineLevel="2" collapsed="1" x14ac:dyDescent="0.2">
      <c r="A630" s="108" t="s">
        <v>594</v>
      </c>
      <c r="B630" s="108"/>
      <c r="C630" s="108"/>
      <c r="D630" s="108"/>
      <c r="E630" s="28" t="s">
        <v>147</v>
      </c>
      <c r="F630" s="29">
        <v>10</v>
      </c>
      <c r="G630" s="30">
        <v>15166.67</v>
      </c>
      <c r="H630" s="32">
        <v>3033.33</v>
      </c>
      <c r="I630" s="30">
        <v>18200</v>
      </c>
    </row>
    <row r="631" spans="1:9" s="18" customFormat="1" ht="11.1" hidden="1" customHeight="1" outlineLevel="1" collapsed="1" x14ac:dyDescent="0.2">
      <c r="A631" s="107" t="s">
        <v>595</v>
      </c>
      <c r="B631" s="107"/>
      <c r="C631" s="107"/>
      <c r="D631" s="107"/>
      <c r="E631" s="107"/>
      <c r="F631" s="25">
        <v>2</v>
      </c>
      <c r="G631" s="34">
        <v>1075</v>
      </c>
      <c r="H631" s="46">
        <v>215</v>
      </c>
      <c r="I631" s="34">
        <v>1290</v>
      </c>
    </row>
    <row r="632" spans="1:9" s="18" customFormat="1" ht="11.1" hidden="1" customHeight="1" outlineLevel="2" x14ac:dyDescent="0.2">
      <c r="A632" s="108" t="s">
        <v>596</v>
      </c>
      <c r="B632" s="108"/>
      <c r="C632" s="108"/>
      <c r="D632" s="108"/>
      <c r="E632" s="28" t="s">
        <v>147</v>
      </c>
      <c r="F632" s="29">
        <v>1</v>
      </c>
      <c r="G632" s="44">
        <v>558.33000000000004</v>
      </c>
      <c r="H632" s="31">
        <v>111.67</v>
      </c>
      <c r="I632" s="44">
        <v>670</v>
      </c>
    </row>
    <row r="633" spans="1:9" s="18" customFormat="1" ht="21.95" hidden="1" customHeight="1" outlineLevel="2" collapsed="1" x14ac:dyDescent="0.2">
      <c r="A633" s="108" t="s">
        <v>597</v>
      </c>
      <c r="B633" s="108"/>
      <c r="C633" s="108"/>
      <c r="D633" s="108"/>
      <c r="E633" s="28" t="s">
        <v>147</v>
      </c>
      <c r="F633" s="29">
        <v>1</v>
      </c>
      <c r="G633" s="44">
        <v>516.66999999999996</v>
      </c>
      <c r="H633" s="31">
        <v>103.33</v>
      </c>
      <c r="I633" s="44">
        <v>620</v>
      </c>
    </row>
    <row r="634" spans="1:9" s="18" customFormat="1" ht="11.1" hidden="1" customHeight="1" outlineLevel="1" collapsed="1" x14ac:dyDescent="0.2">
      <c r="A634" s="107" t="s">
        <v>598</v>
      </c>
      <c r="B634" s="107"/>
      <c r="C634" s="107"/>
      <c r="D634" s="107"/>
      <c r="E634" s="107"/>
      <c r="F634" s="25">
        <v>152</v>
      </c>
      <c r="G634" s="26">
        <v>272966.67</v>
      </c>
      <c r="H634" s="27">
        <v>54593.33</v>
      </c>
      <c r="I634" s="34">
        <v>327560</v>
      </c>
    </row>
    <row r="635" spans="1:9" s="18" customFormat="1" ht="11.1" hidden="1" customHeight="1" outlineLevel="2" x14ac:dyDescent="0.2">
      <c r="A635" s="108" t="s">
        <v>588</v>
      </c>
      <c r="B635" s="108"/>
      <c r="C635" s="108"/>
      <c r="D635" s="108"/>
      <c r="E635" s="28" t="s">
        <v>147</v>
      </c>
      <c r="F635" s="29">
        <v>19</v>
      </c>
      <c r="G635" s="30">
        <v>40216.67</v>
      </c>
      <c r="H635" s="32">
        <v>8043.33</v>
      </c>
      <c r="I635" s="30">
        <v>48260</v>
      </c>
    </row>
    <row r="636" spans="1:9" s="18" customFormat="1" ht="21.95" hidden="1" customHeight="1" outlineLevel="2" collapsed="1" x14ac:dyDescent="0.2">
      <c r="A636" s="108" t="s">
        <v>562</v>
      </c>
      <c r="B636" s="108"/>
      <c r="C636" s="108"/>
      <c r="D636" s="108"/>
      <c r="E636" s="28" t="s">
        <v>147</v>
      </c>
      <c r="F636" s="29">
        <v>133</v>
      </c>
      <c r="G636" s="30">
        <v>232750</v>
      </c>
      <c r="H636" s="32">
        <v>46550</v>
      </c>
      <c r="I636" s="30">
        <v>279300</v>
      </c>
    </row>
    <row r="637" spans="1:9" s="18" customFormat="1" ht="11.1" hidden="1" customHeight="1" outlineLevel="1" collapsed="1" x14ac:dyDescent="0.2">
      <c r="A637" s="107" t="s">
        <v>599</v>
      </c>
      <c r="B637" s="107"/>
      <c r="C637" s="107"/>
      <c r="D637" s="107"/>
      <c r="E637" s="107"/>
      <c r="F637" s="25">
        <v>12</v>
      </c>
      <c r="G637" s="34">
        <v>21000</v>
      </c>
      <c r="H637" s="35">
        <v>4200</v>
      </c>
      <c r="I637" s="34">
        <v>25200</v>
      </c>
    </row>
    <row r="638" spans="1:9" s="18" customFormat="1" ht="21.95" hidden="1" customHeight="1" outlineLevel="2" collapsed="1" x14ac:dyDescent="0.2">
      <c r="A638" s="108" t="s">
        <v>562</v>
      </c>
      <c r="B638" s="108"/>
      <c r="C638" s="108"/>
      <c r="D638" s="108"/>
      <c r="E638" s="28" t="s">
        <v>147</v>
      </c>
      <c r="F638" s="29">
        <v>12</v>
      </c>
      <c r="G638" s="30">
        <v>21000</v>
      </c>
      <c r="H638" s="32">
        <v>4200</v>
      </c>
      <c r="I638" s="30">
        <v>25200</v>
      </c>
    </row>
    <row r="639" spans="1:9" s="18" customFormat="1" ht="11.1" hidden="1" customHeight="1" outlineLevel="1" collapsed="1" x14ac:dyDescent="0.2">
      <c r="A639" s="107" t="s">
        <v>600</v>
      </c>
      <c r="B639" s="107"/>
      <c r="C639" s="107"/>
      <c r="D639" s="107"/>
      <c r="E639" s="107"/>
      <c r="F639" s="25">
        <v>5</v>
      </c>
      <c r="G639" s="42">
        <v>897.51</v>
      </c>
      <c r="H639" s="45">
        <v>179.49</v>
      </c>
      <c r="I639" s="34">
        <v>1077</v>
      </c>
    </row>
    <row r="640" spans="1:9" s="18" customFormat="1" ht="21.95" hidden="1" customHeight="1" outlineLevel="2" x14ac:dyDescent="0.2">
      <c r="A640" s="108" t="s">
        <v>601</v>
      </c>
      <c r="B640" s="108"/>
      <c r="C640" s="108"/>
      <c r="D640" s="108"/>
      <c r="E640" s="28" t="s">
        <v>147</v>
      </c>
      <c r="F640" s="29">
        <v>1</v>
      </c>
      <c r="G640" s="44">
        <v>115.83</v>
      </c>
      <c r="H640" s="31">
        <v>23.17</v>
      </c>
      <c r="I640" s="44">
        <v>139</v>
      </c>
    </row>
    <row r="641" spans="1:9" s="18" customFormat="1" ht="21.95" hidden="1" customHeight="1" outlineLevel="2" x14ac:dyDescent="0.2">
      <c r="A641" s="108" t="s">
        <v>602</v>
      </c>
      <c r="B641" s="108"/>
      <c r="C641" s="108"/>
      <c r="D641" s="108"/>
      <c r="E641" s="28" t="s">
        <v>147</v>
      </c>
      <c r="F641" s="29">
        <v>1</v>
      </c>
      <c r="G641" s="44">
        <v>441.67</v>
      </c>
      <c r="H641" s="31">
        <v>88.33</v>
      </c>
      <c r="I641" s="44">
        <v>530</v>
      </c>
    </row>
    <row r="642" spans="1:9" s="18" customFormat="1" ht="21.95" hidden="1" customHeight="1" outlineLevel="2" x14ac:dyDescent="0.2">
      <c r="A642" s="108" t="s">
        <v>603</v>
      </c>
      <c r="B642" s="108"/>
      <c r="C642" s="108"/>
      <c r="D642" s="108"/>
      <c r="E642" s="28" t="s">
        <v>147</v>
      </c>
      <c r="F642" s="29">
        <v>1</v>
      </c>
      <c r="G642" s="44">
        <v>96.67</v>
      </c>
      <c r="H642" s="31">
        <v>19.329999999999998</v>
      </c>
      <c r="I642" s="44">
        <v>116</v>
      </c>
    </row>
    <row r="643" spans="1:9" s="18" customFormat="1" ht="11.1" hidden="1" customHeight="1" outlineLevel="2" x14ac:dyDescent="0.2">
      <c r="A643" s="108" t="s">
        <v>604</v>
      </c>
      <c r="B643" s="108"/>
      <c r="C643" s="108"/>
      <c r="D643" s="108"/>
      <c r="E643" s="28" t="s">
        <v>147</v>
      </c>
      <c r="F643" s="29">
        <v>1</v>
      </c>
      <c r="G643" s="44">
        <v>151.66999999999999</v>
      </c>
      <c r="H643" s="31">
        <v>30.33</v>
      </c>
      <c r="I643" s="44">
        <v>182</v>
      </c>
    </row>
    <row r="644" spans="1:9" s="18" customFormat="1" ht="11.1" hidden="1" customHeight="1" outlineLevel="2" collapsed="1" x14ac:dyDescent="0.2">
      <c r="A644" s="108" t="s">
        <v>605</v>
      </c>
      <c r="B644" s="108"/>
      <c r="C644" s="108"/>
      <c r="D644" s="108"/>
      <c r="E644" s="28" t="s">
        <v>147</v>
      </c>
      <c r="F644" s="29">
        <v>1</v>
      </c>
      <c r="G644" s="44">
        <v>91.67</v>
      </c>
      <c r="H644" s="31">
        <v>18.329999999999998</v>
      </c>
      <c r="I644" s="44">
        <v>110</v>
      </c>
    </row>
    <row r="645" spans="1:9" s="18" customFormat="1" ht="11.1" hidden="1" customHeight="1" outlineLevel="1" collapsed="1" x14ac:dyDescent="0.2">
      <c r="A645" s="107" t="s">
        <v>606</v>
      </c>
      <c r="B645" s="107"/>
      <c r="C645" s="107"/>
      <c r="D645" s="107"/>
      <c r="E645" s="107"/>
      <c r="F645" s="25">
        <v>60</v>
      </c>
      <c r="G645" s="34">
        <v>61750</v>
      </c>
      <c r="H645" s="35">
        <v>12350</v>
      </c>
      <c r="I645" s="34">
        <v>74100</v>
      </c>
    </row>
    <row r="646" spans="1:9" s="18" customFormat="1" ht="11.1" hidden="1" customHeight="1" outlineLevel="2" x14ac:dyDescent="0.2">
      <c r="A646" s="108" t="s">
        <v>561</v>
      </c>
      <c r="B646" s="108"/>
      <c r="C646" s="108"/>
      <c r="D646" s="108"/>
      <c r="E646" s="28" t="s">
        <v>147</v>
      </c>
      <c r="F646" s="29">
        <v>10</v>
      </c>
      <c r="G646" s="30">
        <v>14666.67</v>
      </c>
      <c r="H646" s="32">
        <v>2933.33</v>
      </c>
      <c r="I646" s="30">
        <v>17600</v>
      </c>
    </row>
    <row r="647" spans="1:9" s="18" customFormat="1" ht="21.95" hidden="1" customHeight="1" outlineLevel="2" x14ac:dyDescent="0.2">
      <c r="A647" s="108" t="s">
        <v>570</v>
      </c>
      <c r="B647" s="108"/>
      <c r="C647" s="108"/>
      <c r="D647" s="108"/>
      <c r="E647" s="28" t="s">
        <v>147</v>
      </c>
      <c r="F647" s="29">
        <v>20</v>
      </c>
      <c r="G647" s="30">
        <v>25333.33</v>
      </c>
      <c r="H647" s="32">
        <v>5066.67</v>
      </c>
      <c r="I647" s="30">
        <v>30400</v>
      </c>
    </row>
    <row r="648" spans="1:9" s="18" customFormat="1" ht="21.95" hidden="1" customHeight="1" outlineLevel="2" collapsed="1" x14ac:dyDescent="0.2">
      <c r="A648" s="108" t="s">
        <v>585</v>
      </c>
      <c r="B648" s="108"/>
      <c r="C648" s="108"/>
      <c r="D648" s="108"/>
      <c r="E648" s="28" t="s">
        <v>147</v>
      </c>
      <c r="F648" s="29">
        <v>30</v>
      </c>
      <c r="G648" s="30">
        <v>21750</v>
      </c>
      <c r="H648" s="32">
        <v>4350</v>
      </c>
      <c r="I648" s="30">
        <v>26100</v>
      </c>
    </row>
    <row r="649" spans="1:9" s="18" customFormat="1" ht="11.1" hidden="1" customHeight="1" outlineLevel="1" collapsed="1" x14ac:dyDescent="0.2">
      <c r="A649" s="107" t="s">
        <v>607</v>
      </c>
      <c r="B649" s="107"/>
      <c r="C649" s="107"/>
      <c r="D649" s="107"/>
      <c r="E649" s="107"/>
      <c r="F649" s="25">
        <v>2</v>
      </c>
      <c r="G649" s="52">
        <v>760</v>
      </c>
      <c r="H649" s="46">
        <v>152</v>
      </c>
      <c r="I649" s="52">
        <v>912</v>
      </c>
    </row>
    <row r="650" spans="1:9" s="18" customFormat="1" ht="11.1" hidden="1" customHeight="1" outlineLevel="2" x14ac:dyDescent="0.2">
      <c r="A650" s="108" t="s">
        <v>608</v>
      </c>
      <c r="B650" s="108"/>
      <c r="C650" s="108"/>
      <c r="D650" s="108"/>
      <c r="E650" s="28" t="s">
        <v>147</v>
      </c>
      <c r="F650" s="29">
        <v>1</v>
      </c>
      <c r="G650" s="44">
        <v>445.83</v>
      </c>
      <c r="H650" s="31">
        <v>89.17</v>
      </c>
      <c r="I650" s="44">
        <v>535</v>
      </c>
    </row>
    <row r="651" spans="1:9" s="18" customFormat="1" ht="21.95" hidden="1" customHeight="1" outlineLevel="2" collapsed="1" x14ac:dyDescent="0.2">
      <c r="A651" s="108" t="s">
        <v>609</v>
      </c>
      <c r="B651" s="108"/>
      <c r="C651" s="108"/>
      <c r="D651" s="108"/>
      <c r="E651" s="28" t="s">
        <v>147</v>
      </c>
      <c r="F651" s="29">
        <v>1</v>
      </c>
      <c r="G651" s="44">
        <v>314.17</v>
      </c>
      <c r="H651" s="31">
        <v>62.83</v>
      </c>
      <c r="I651" s="44">
        <v>377</v>
      </c>
    </row>
    <row r="652" spans="1:9" s="18" customFormat="1" ht="11.1" hidden="1" customHeight="1" outlineLevel="1" collapsed="1" x14ac:dyDescent="0.2">
      <c r="A652" s="107" t="s">
        <v>610</v>
      </c>
      <c r="B652" s="107"/>
      <c r="C652" s="107"/>
      <c r="D652" s="107"/>
      <c r="E652" s="107"/>
      <c r="F652" s="25">
        <v>1</v>
      </c>
      <c r="G652" s="52">
        <v>420</v>
      </c>
      <c r="H652" s="46">
        <v>84</v>
      </c>
      <c r="I652" s="52">
        <v>504</v>
      </c>
    </row>
    <row r="653" spans="1:9" s="18" customFormat="1" ht="11.1" hidden="1" customHeight="1" outlineLevel="2" collapsed="1" x14ac:dyDescent="0.2">
      <c r="A653" s="108" t="s">
        <v>611</v>
      </c>
      <c r="B653" s="108"/>
      <c r="C653" s="108"/>
      <c r="D653" s="108"/>
      <c r="E653" s="28" t="s">
        <v>147</v>
      </c>
      <c r="F653" s="29">
        <v>1</v>
      </c>
      <c r="G653" s="44">
        <v>420</v>
      </c>
      <c r="H653" s="31">
        <v>84</v>
      </c>
      <c r="I653" s="44">
        <v>504</v>
      </c>
    </row>
    <row r="654" spans="1:9" s="18" customFormat="1" ht="11.1" hidden="1" customHeight="1" outlineLevel="1" collapsed="1" x14ac:dyDescent="0.2">
      <c r="A654" s="107" t="s">
        <v>612</v>
      </c>
      <c r="B654" s="107"/>
      <c r="C654" s="107"/>
      <c r="D654" s="107"/>
      <c r="E654" s="107"/>
      <c r="F654" s="25">
        <v>15</v>
      </c>
      <c r="G654" s="34">
        <v>29250</v>
      </c>
      <c r="H654" s="35">
        <v>5850</v>
      </c>
      <c r="I654" s="34">
        <v>35100</v>
      </c>
    </row>
    <row r="655" spans="1:9" s="18" customFormat="1" ht="21.95" hidden="1" customHeight="1" outlineLevel="2" collapsed="1" x14ac:dyDescent="0.2">
      <c r="A655" s="108" t="s">
        <v>613</v>
      </c>
      <c r="B655" s="108"/>
      <c r="C655" s="108"/>
      <c r="D655" s="108"/>
      <c r="E655" s="28" t="s">
        <v>147</v>
      </c>
      <c r="F655" s="29">
        <v>15</v>
      </c>
      <c r="G655" s="30">
        <v>29250</v>
      </c>
      <c r="H655" s="32">
        <v>5850</v>
      </c>
      <c r="I655" s="30">
        <v>35100</v>
      </c>
    </row>
    <row r="656" spans="1:9" s="18" customFormat="1" ht="11.1" hidden="1" customHeight="1" outlineLevel="1" collapsed="1" x14ac:dyDescent="0.2">
      <c r="A656" s="107" t="s">
        <v>614</v>
      </c>
      <c r="B656" s="107"/>
      <c r="C656" s="107"/>
      <c r="D656" s="107"/>
      <c r="E656" s="107"/>
      <c r="F656" s="25">
        <v>24</v>
      </c>
      <c r="G656" s="26">
        <v>27383.34</v>
      </c>
      <c r="H656" s="27">
        <v>5476.66</v>
      </c>
      <c r="I656" s="34">
        <v>32860</v>
      </c>
    </row>
    <row r="657" spans="1:9" s="18" customFormat="1" ht="11.1" hidden="1" customHeight="1" outlineLevel="2" x14ac:dyDescent="0.2">
      <c r="A657" s="108" t="s">
        <v>567</v>
      </c>
      <c r="B657" s="108"/>
      <c r="C657" s="108"/>
      <c r="D657" s="108"/>
      <c r="E657" s="28" t="s">
        <v>147</v>
      </c>
      <c r="F657" s="29">
        <v>2</v>
      </c>
      <c r="G657" s="44">
        <v>800</v>
      </c>
      <c r="H657" s="31">
        <v>160</v>
      </c>
      <c r="I657" s="44">
        <v>960</v>
      </c>
    </row>
    <row r="658" spans="1:9" s="18" customFormat="1" ht="11.1" hidden="1" customHeight="1" outlineLevel="2" x14ac:dyDescent="0.2">
      <c r="A658" s="108" t="s">
        <v>561</v>
      </c>
      <c r="B658" s="108"/>
      <c r="C658" s="108"/>
      <c r="D658" s="108"/>
      <c r="E658" s="28" t="s">
        <v>147</v>
      </c>
      <c r="F658" s="29">
        <v>12</v>
      </c>
      <c r="G658" s="30">
        <v>17600</v>
      </c>
      <c r="H658" s="32">
        <v>3520</v>
      </c>
      <c r="I658" s="30">
        <v>21120</v>
      </c>
    </row>
    <row r="659" spans="1:9" s="18" customFormat="1" ht="11.1" hidden="1" customHeight="1" outlineLevel="2" x14ac:dyDescent="0.2">
      <c r="A659" s="108" t="s">
        <v>566</v>
      </c>
      <c r="B659" s="108"/>
      <c r="C659" s="108"/>
      <c r="D659" s="108"/>
      <c r="E659" s="28" t="s">
        <v>147</v>
      </c>
      <c r="F659" s="29">
        <v>1</v>
      </c>
      <c r="G659" s="44">
        <v>716.67</v>
      </c>
      <c r="H659" s="31">
        <v>143.33000000000001</v>
      </c>
      <c r="I659" s="44">
        <v>860</v>
      </c>
    </row>
    <row r="660" spans="1:9" s="18" customFormat="1" ht="21.95" hidden="1" customHeight="1" outlineLevel="2" x14ac:dyDescent="0.2">
      <c r="A660" s="108" t="s">
        <v>560</v>
      </c>
      <c r="B660" s="108"/>
      <c r="C660" s="108"/>
      <c r="D660" s="108"/>
      <c r="E660" s="28" t="s">
        <v>147</v>
      </c>
      <c r="F660" s="29">
        <v>1</v>
      </c>
      <c r="G660" s="30">
        <v>1833.33</v>
      </c>
      <c r="H660" s="31">
        <v>366.67</v>
      </c>
      <c r="I660" s="30">
        <v>2200</v>
      </c>
    </row>
    <row r="661" spans="1:9" s="18" customFormat="1" ht="11.1" hidden="1" customHeight="1" outlineLevel="2" x14ac:dyDescent="0.2">
      <c r="A661" s="108" t="s">
        <v>564</v>
      </c>
      <c r="B661" s="108"/>
      <c r="C661" s="108"/>
      <c r="D661" s="108"/>
      <c r="E661" s="28" t="s">
        <v>147</v>
      </c>
      <c r="F661" s="29">
        <v>4</v>
      </c>
      <c r="G661" s="30">
        <v>5266.67</v>
      </c>
      <c r="H661" s="32">
        <v>1053.33</v>
      </c>
      <c r="I661" s="30">
        <v>6320</v>
      </c>
    </row>
    <row r="662" spans="1:9" s="18" customFormat="1" ht="11.1" hidden="1" customHeight="1" outlineLevel="2" collapsed="1" x14ac:dyDescent="0.2">
      <c r="A662" s="108" t="s">
        <v>565</v>
      </c>
      <c r="B662" s="108"/>
      <c r="C662" s="108"/>
      <c r="D662" s="108"/>
      <c r="E662" s="28" t="s">
        <v>147</v>
      </c>
      <c r="F662" s="29">
        <v>4</v>
      </c>
      <c r="G662" s="30">
        <v>1166.67</v>
      </c>
      <c r="H662" s="31">
        <v>233.33</v>
      </c>
      <c r="I662" s="30">
        <v>1400</v>
      </c>
    </row>
    <row r="663" spans="1:9" s="18" customFormat="1" ht="11.1" hidden="1" customHeight="1" outlineLevel="1" collapsed="1" x14ac:dyDescent="0.2">
      <c r="A663" s="107" t="s">
        <v>615</v>
      </c>
      <c r="B663" s="107"/>
      <c r="C663" s="107"/>
      <c r="D663" s="107"/>
      <c r="E663" s="107"/>
      <c r="F663" s="25">
        <v>121</v>
      </c>
      <c r="G663" s="26">
        <v>218716.67</v>
      </c>
      <c r="H663" s="27">
        <v>43743.33</v>
      </c>
      <c r="I663" s="34">
        <v>262460</v>
      </c>
    </row>
    <row r="664" spans="1:9" s="18" customFormat="1" ht="11.1" hidden="1" customHeight="1" outlineLevel="2" x14ac:dyDescent="0.2">
      <c r="A664" s="108" t="s">
        <v>588</v>
      </c>
      <c r="B664" s="108"/>
      <c r="C664" s="108"/>
      <c r="D664" s="108"/>
      <c r="E664" s="28" t="s">
        <v>147</v>
      </c>
      <c r="F664" s="29">
        <v>19</v>
      </c>
      <c r="G664" s="30">
        <v>40216.67</v>
      </c>
      <c r="H664" s="32">
        <v>8043.33</v>
      </c>
      <c r="I664" s="30">
        <v>48260</v>
      </c>
    </row>
    <row r="665" spans="1:9" s="18" customFormat="1" ht="21.95" hidden="1" customHeight="1" outlineLevel="2" collapsed="1" x14ac:dyDescent="0.2">
      <c r="A665" s="108" t="s">
        <v>562</v>
      </c>
      <c r="B665" s="108"/>
      <c r="C665" s="108"/>
      <c r="D665" s="108"/>
      <c r="E665" s="28" t="s">
        <v>147</v>
      </c>
      <c r="F665" s="29">
        <v>102</v>
      </c>
      <c r="G665" s="30">
        <v>178500</v>
      </c>
      <c r="H665" s="32">
        <v>35700</v>
      </c>
      <c r="I665" s="30">
        <v>214200</v>
      </c>
    </row>
    <row r="666" spans="1:9" s="18" customFormat="1" ht="11.1" hidden="1" customHeight="1" outlineLevel="1" collapsed="1" x14ac:dyDescent="0.2">
      <c r="A666" s="107" t="s">
        <v>616</v>
      </c>
      <c r="B666" s="107"/>
      <c r="C666" s="107"/>
      <c r="D666" s="107"/>
      <c r="E666" s="107"/>
      <c r="F666" s="25">
        <v>25</v>
      </c>
      <c r="G666" s="34">
        <v>43750</v>
      </c>
      <c r="H666" s="35">
        <v>8750</v>
      </c>
      <c r="I666" s="34">
        <v>52500</v>
      </c>
    </row>
    <row r="667" spans="1:9" s="18" customFormat="1" ht="21.95" hidden="1" customHeight="1" outlineLevel="2" collapsed="1" x14ac:dyDescent="0.2">
      <c r="A667" s="108" t="s">
        <v>562</v>
      </c>
      <c r="B667" s="108"/>
      <c r="C667" s="108"/>
      <c r="D667" s="108"/>
      <c r="E667" s="28" t="s">
        <v>147</v>
      </c>
      <c r="F667" s="29">
        <v>25</v>
      </c>
      <c r="G667" s="30">
        <v>43750</v>
      </c>
      <c r="H667" s="32">
        <v>8750</v>
      </c>
      <c r="I667" s="30">
        <v>52500</v>
      </c>
    </row>
    <row r="668" spans="1:9" s="18" customFormat="1" ht="11.1" hidden="1" customHeight="1" outlineLevel="1" collapsed="1" x14ac:dyDescent="0.2">
      <c r="A668" s="107" t="s">
        <v>617</v>
      </c>
      <c r="B668" s="107"/>
      <c r="C668" s="107"/>
      <c r="D668" s="107"/>
      <c r="E668" s="107"/>
      <c r="F668" s="25">
        <v>11</v>
      </c>
      <c r="G668" s="34">
        <v>19250</v>
      </c>
      <c r="H668" s="35">
        <v>3850</v>
      </c>
      <c r="I668" s="34">
        <v>23100</v>
      </c>
    </row>
    <row r="669" spans="1:9" s="18" customFormat="1" ht="21.95" hidden="1" customHeight="1" outlineLevel="2" collapsed="1" x14ac:dyDescent="0.2">
      <c r="A669" s="108" t="s">
        <v>562</v>
      </c>
      <c r="B669" s="108"/>
      <c r="C669" s="108"/>
      <c r="D669" s="108"/>
      <c r="E669" s="28" t="s">
        <v>147</v>
      </c>
      <c r="F669" s="29">
        <v>11</v>
      </c>
      <c r="G669" s="30">
        <v>19250</v>
      </c>
      <c r="H669" s="32">
        <v>3850</v>
      </c>
      <c r="I669" s="30">
        <v>23100</v>
      </c>
    </row>
    <row r="670" spans="1:9" s="18" customFormat="1" ht="11.1" hidden="1" customHeight="1" outlineLevel="1" collapsed="1" x14ac:dyDescent="0.2">
      <c r="A670" s="107" t="s">
        <v>618</v>
      </c>
      <c r="B670" s="107"/>
      <c r="C670" s="107"/>
      <c r="D670" s="107"/>
      <c r="E670" s="107"/>
      <c r="F670" s="25">
        <v>1</v>
      </c>
      <c r="G670" s="26">
        <v>1083.33</v>
      </c>
      <c r="H670" s="45">
        <v>216.67</v>
      </c>
      <c r="I670" s="34">
        <v>1300</v>
      </c>
    </row>
    <row r="671" spans="1:9" s="18" customFormat="1" ht="11.1" hidden="1" customHeight="1" outlineLevel="2" collapsed="1" x14ac:dyDescent="0.2">
      <c r="A671" s="108" t="s">
        <v>619</v>
      </c>
      <c r="B671" s="108"/>
      <c r="C671" s="108"/>
      <c r="D671" s="108"/>
      <c r="E671" s="28" t="s">
        <v>147</v>
      </c>
      <c r="F671" s="29">
        <v>1</v>
      </c>
      <c r="G671" s="30">
        <v>1083.33</v>
      </c>
      <c r="H671" s="31">
        <v>216.67</v>
      </c>
      <c r="I671" s="30">
        <v>1300</v>
      </c>
    </row>
    <row r="672" spans="1:9" s="18" customFormat="1" ht="11.1" hidden="1" customHeight="1" outlineLevel="1" collapsed="1" x14ac:dyDescent="0.2">
      <c r="A672" s="107" t="s">
        <v>620</v>
      </c>
      <c r="B672" s="107"/>
      <c r="C672" s="107"/>
      <c r="D672" s="107"/>
      <c r="E672" s="107"/>
      <c r="F672" s="25">
        <v>18</v>
      </c>
      <c r="G672" s="26">
        <v>20816.66</v>
      </c>
      <c r="H672" s="27">
        <v>4163.34</v>
      </c>
      <c r="I672" s="34">
        <v>24980</v>
      </c>
    </row>
    <row r="673" spans="1:9" s="18" customFormat="1" ht="21.95" hidden="1" customHeight="1" outlineLevel="2" x14ac:dyDescent="0.2">
      <c r="A673" s="108" t="s">
        <v>573</v>
      </c>
      <c r="B673" s="108"/>
      <c r="C673" s="108"/>
      <c r="D673" s="108"/>
      <c r="E673" s="28" t="s">
        <v>147</v>
      </c>
      <c r="F673" s="29">
        <v>4</v>
      </c>
      <c r="G673" s="30">
        <v>1450</v>
      </c>
      <c r="H673" s="31">
        <v>290</v>
      </c>
      <c r="I673" s="30">
        <v>1740</v>
      </c>
    </row>
    <row r="674" spans="1:9" s="18" customFormat="1" ht="21.95" hidden="1" customHeight="1" outlineLevel="2" x14ac:dyDescent="0.2">
      <c r="A674" s="108" t="s">
        <v>570</v>
      </c>
      <c r="B674" s="108"/>
      <c r="C674" s="108"/>
      <c r="D674" s="108"/>
      <c r="E674" s="28" t="s">
        <v>147</v>
      </c>
      <c r="F674" s="29">
        <v>5</v>
      </c>
      <c r="G674" s="30">
        <v>6333.33</v>
      </c>
      <c r="H674" s="32">
        <v>1266.67</v>
      </c>
      <c r="I674" s="30">
        <v>7600</v>
      </c>
    </row>
    <row r="675" spans="1:9" s="18" customFormat="1" ht="21.95" hidden="1" customHeight="1" outlineLevel="2" x14ac:dyDescent="0.2">
      <c r="A675" s="108" t="s">
        <v>572</v>
      </c>
      <c r="B675" s="108"/>
      <c r="C675" s="108"/>
      <c r="D675" s="108"/>
      <c r="E675" s="28" t="s">
        <v>147</v>
      </c>
      <c r="F675" s="29">
        <v>5</v>
      </c>
      <c r="G675" s="30">
        <v>10083.33</v>
      </c>
      <c r="H675" s="32">
        <v>2016.67</v>
      </c>
      <c r="I675" s="30">
        <v>12100</v>
      </c>
    </row>
    <row r="676" spans="1:9" s="18" customFormat="1" ht="11.1" hidden="1" customHeight="1" outlineLevel="2" collapsed="1" x14ac:dyDescent="0.2">
      <c r="A676" s="108" t="s">
        <v>578</v>
      </c>
      <c r="B676" s="108"/>
      <c r="C676" s="108"/>
      <c r="D676" s="108"/>
      <c r="E676" s="28" t="s">
        <v>147</v>
      </c>
      <c r="F676" s="29">
        <v>4</v>
      </c>
      <c r="G676" s="30">
        <v>2950</v>
      </c>
      <c r="H676" s="31">
        <v>590</v>
      </c>
      <c r="I676" s="30">
        <v>3540</v>
      </c>
    </row>
    <row r="677" spans="1:9" s="18" customFormat="1" ht="11.1" hidden="1" customHeight="1" outlineLevel="1" collapsed="1" x14ac:dyDescent="0.2">
      <c r="A677" s="107" t="s">
        <v>621</v>
      </c>
      <c r="B677" s="107"/>
      <c r="C677" s="107"/>
      <c r="D677" s="107"/>
      <c r="E677" s="107"/>
      <c r="F677" s="25">
        <v>161</v>
      </c>
      <c r="G677" s="26">
        <v>278916.67</v>
      </c>
      <c r="H677" s="27">
        <v>55783.33</v>
      </c>
      <c r="I677" s="34">
        <v>334700</v>
      </c>
    </row>
    <row r="678" spans="1:9" s="18" customFormat="1" ht="11.1" hidden="1" customHeight="1" outlineLevel="2" x14ac:dyDescent="0.2">
      <c r="A678" s="108" t="s">
        <v>587</v>
      </c>
      <c r="B678" s="108"/>
      <c r="C678" s="108"/>
      <c r="D678" s="108"/>
      <c r="E678" s="28" t="s">
        <v>147</v>
      </c>
      <c r="F678" s="29">
        <v>28</v>
      </c>
      <c r="G678" s="30">
        <v>39200</v>
      </c>
      <c r="H678" s="32">
        <v>7840</v>
      </c>
      <c r="I678" s="30">
        <v>47040</v>
      </c>
    </row>
    <row r="679" spans="1:9" s="18" customFormat="1" ht="11.1" hidden="1" customHeight="1" outlineLevel="2" x14ac:dyDescent="0.2">
      <c r="A679" s="108" t="s">
        <v>588</v>
      </c>
      <c r="B679" s="108"/>
      <c r="C679" s="108"/>
      <c r="D679" s="108"/>
      <c r="E679" s="28" t="s">
        <v>147</v>
      </c>
      <c r="F679" s="29">
        <v>19</v>
      </c>
      <c r="G679" s="30">
        <v>40216.67</v>
      </c>
      <c r="H679" s="32">
        <v>8043.33</v>
      </c>
      <c r="I679" s="30">
        <v>48260</v>
      </c>
    </row>
    <row r="680" spans="1:9" s="18" customFormat="1" ht="21.95" hidden="1" customHeight="1" outlineLevel="2" collapsed="1" x14ac:dyDescent="0.2">
      <c r="A680" s="108" t="s">
        <v>562</v>
      </c>
      <c r="B680" s="108"/>
      <c r="C680" s="108"/>
      <c r="D680" s="108"/>
      <c r="E680" s="28" t="s">
        <v>147</v>
      </c>
      <c r="F680" s="29">
        <v>114</v>
      </c>
      <c r="G680" s="30">
        <v>199500</v>
      </c>
      <c r="H680" s="32">
        <v>39900</v>
      </c>
      <c r="I680" s="30">
        <v>239400</v>
      </c>
    </row>
    <row r="681" spans="1:9" s="18" customFormat="1" ht="11.1" hidden="1" customHeight="1" outlineLevel="1" collapsed="1" x14ac:dyDescent="0.2">
      <c r="A681" s="107" t="s">
        <v>622</v>
      </c>
      <c r="B681" s="107"/>
      <c r="C681" s="107"/>
      <c r="D681" s="107"/>
      <c r="E681" s="107"/>
      <c r="F681" s="25">
        <v>35</v>
      </c>
      <c r="G681" s="34">
        <v>50750</v>
      </c>
      <c r="H681" s="35">
        <v>10150</v>
      </c>
      <c r="I681" s="34">
        <v>60900</v>
      </c>
    </row>
    <row r="682" spans="1:9" s="18" customFormat="1" ht="11.1" hidden="1" customHeight="1" outlineLevel="2" x14ac:dyDescent="0.2">
      <c r="A682" s="108" t="s">
        <v>587</v>
      </c>
      <c r="B682" s="108"/>
      <c r="C682" s="108"/>
      <c r="D682" s="108"/>
      <c r="E682" s="28" t="s">
        <v>147</v>
      </c>
      <c r="F682" s="29">
        <v>30</v>
      </c>
      <c r="G682" s="30">
        <v>42000</v>
      </c>
      <c r="H682" s="32">
        <v>8400</v>
      </c>
      <c r="I682" s="30">
        <v>50400</v>
      </c>
    </row>
    <row r="683" spans="1:9" s="18" customFormat="1" ht="21.95" hidden="1" customHeight="1" outlineLevel="2" collapsed="1" x14ac:dyDescent="0.2">
      <c r="A683" s="108" t="s">
        <v>562</v>
      </c>
      <c r="B683" s="108"/>
      <c r="C683" s="108"/>
      <c r="D683" s="108"/>
      <c r="E683" s="28" t="s">
        <v>147</v>
      </c>
      <c r="F683" s="29">
        <v>5</v>
      </c>
      <c r="G683" s="30">
        <v>8750</v>
      </c>
      <c r="H683" s="32">
        <v>1750</v>
      </c>
      <c r="I683" s="30">
        <v>10500</v>
      </c>
    </row>
    <row r="684" spans="1:9" s="18" customFormat="1" ht="11.1" hidden="1" customHeight="1" outlineLevel="1" collapsed="1" x14ac:dyDescent="0.2">
      <c r="A684" s="107" t="s">
        <v>623</v>
      </c>
      <c r="B684" s="107"/>
      <c r="C684" s="107"/>
      <c r="D684" s="107"/>
      <c r="E684" s="107"/>
      <c r="F684" s="25">
        <v>6</v>
      </c>
      <c r="G684" s="34">
        <v>8400</v>
      </c>
      <c r="H684" s="35">
        <v>1680</v>
      </c>
      <c r="I684" s="34">
        <v>10080</v>
      </c>
    </row>
    <row r="685" spans="1:9" s="18" customFormat="1" ht="11.1" hidden="1" customHeight="1" outlineLevel="2" collapsed="1" x14ac:dyDescent="0.2">
      <c r="A685" s="108" t="s">
        <v>587</v>
      </c>
      <c r="B685" s="108"/>
      <c r="C685" s="108"/>
      <c r="D685" s="108"/>
      <c r="E685" s="28" t="s">
        <v>147</v>
      </c>
      <c r="F685" s="29">
        <v>6</v>
      </c>
      <c r="G685" s="30">
        <v>8400</v>
      </c>
      <c r="H685" s="32">
        <v>1680</v>
      </c>
      <c r="I685" s="30">
        <v>10080</v>
      </c>
    </row>
    <row r="686" spans="1:9" s="18" customFormat="1" ht="11.1" hidden="1" customHeight="1" outlineLevel="1" collapsed="1" x14ac:dyDescent="0.2">
      <c r="A686" s="107" t="s">
        <v>624</v>
      </c>
      <c r="B686" s="107"/>
      <c r="C686" s="107"/>
      <c r="D686" s="107"/>
      <c r="E686" s="107"/>
      <c r="F686" s="25">
        <v>2</v>
      </c>
      <c r="G686" s="34">
        <v>1475</v>
      </c>
      <c r="H686" s="46">
        <v>295</v>
      </c>
      <c r="I686" s="34">
        <v>1770</v>
      </c>
    </row>
    <row r="687" spans="1:9" s="18" customFormat="1" ht="21.95" hidden="1" customHeight="1" outlineLevel="2" collapsed="1" x14ac:dyDescent="0.2">
      <c r="A687" s="108" t="s">
        <v>571</v>
      </c>
      <c r="B687" s="108"/>
      <c r="C687" s="108"/>
      <c r="D687" s="108"/>
      <c r="E687" s="28" t="s">
        <v>147</v>
      </c>
      <c r="F687" s="29">
        <v>2</v>
      </c>
      <c r="G687" s="30">
        <v>1475</v>
      </c>
      <c r="H687" s="31">
        <v>295</v>
      </c>
      <c r="I687" s="30">
        <v>1770</v>
      </c>
    </row>
    <row r="688" spans="1:9" s="18" customFormat="1" ht="11.1" hidden="1" customHeight="1" outlineLevel="1" collapsed="1" x14ac:dyDescent="0.2">
      <c r="A688" s="107" t="s">
        <v>625</v>
      </c>
      <c r="B688" s="107"/>
      <c r="C688" s="107"/>
      <c r="D688" s="107"/>
      <c r="E688" s="107"/>
      <c r="F688" s="25">
        <v>4</v>
      </c>
      <c r="G688" s="39">
        <v>2382.5</v>
      </c>
      <c r="H688" s="43">
        <v>476.5</v>
      </c>
      <c r="I688" s="34">
        <v>2859</v>
      </c>
    </row>
    <row r="689" spans="1:9" s="18" customFormat="1" ht="21.95" hidden="1" customHeight="1" outlineLevel="2" x14ac:dyDescent="0.2">
      <c r="A689" s="108" t="s">
        <v>626</v>
      </c>
      <c r="B689" s="108"/>
      <c r="C689" s="108"/>
      <c r="D689" s="108"/>
      <c r="E689" s="28" t="s">
        <v>147</v>
      </c>
      <c r="F689" s="29">
        <v>1</v>
      </c>
      <c r="G689" s="30">
        <v>1133.33</v>
      </c>
      <c r="H689" s="31">
        <v>226.67</v>
      </c>
      <c r="I689" s="30">
        <v>1360</v>
      </c>
    </row>
    <row r="690" spans="1:9" s="18" customFormat="1" ht="21.95" hidden="1" customHeight="1" outlineLevel="2" x14ac:dyDescent="0.2">
      <c r="A690" s="108" t="s">
        <v>627</v>
      </c>
      <c r="B690" s="108"/>
      <c r="C690" s="108"/>
      <c r="D690" s="108"/>
      <c r="E690" s="28" t="s">
        <v>147</v>
      </c>
      <c r="F690" s="29">
        <v>1</v>
      </c>
      <c r="G690" s="44">
        <v>345.83</v>
      </c>
      <c r="H690" s="31">
        <v>69.17</v>
      </c>
      <c r="I690" s="44">
        <v>415</v>
      </c>
    </row>
    <row r="691" spans="1:9" s="18" customFormat="1" ht="21.95" hidden="1" customHeight="1" outlineLevel="2" x14ac:dyDescent="0.2">
      <c r="A691" s="108" t="s">
        <v>628</v>
      </c>
      <c r="B691" s="108"/>
      <c r="C691" s="108"/>
      <c r="D691" s="108"/>
      <c r="E691" s="28" t="s">
        <v>147</v>
      </c>
      <c r="F691" s="29">
        <v>1</v>
      </c>
      <c r="G691" s="44">
        <v>504.17</v>
      </c>
      <c r="H691" s="31">
        <v>100.83</v>
      </c>
      <c r="I691" s="44">
        <v>605</v>
      </c>
    </row>
    <row r="692" spans="1:9" s="18" customFormat="1" ht="21.95" hidden="1" customHeight="1" outlineLevel="2" collapsed="1" x14ac:dyDescent="0.2">
      <c r="A692" s="108" t="s">
        <v>629</v>
      </c>
      <c r="B692" s="108"/>
      <c r="C692" s="108"/>
      <c r="D692" s="108"/>
      <c r="E692" s="28" t="s">
        <v>147</v>
      </c>
      <c r="F692" s="29">
        <v>1</v>
      </c>
      <c r="G692" s="44">
        <v>399.17</v>
      </c>
      <c r="H692" s="31">
        <v>79.83</v>
      </c>
      <c r="I692" s="44">
        <v>479</v>
      </c>
    </row>
    <row r="693" spans="1:9" s="18" customFormat="1" ht="11.1" hidden="1" customHeight="1" outlineLevel="1" collapsed="1" x14ac:dyDescent="0.2">
      <c r="A693" s="107" t="s">
        <v>630</v>
      </c>
      <c r="B693" s="107"/>
      <c r="C693" s="107"/>
      <c r="D693" s="107"/>
      <c r="E693" s="107"/>
      <c r="F693" s="25">
        <v>40</v>
      </c>
      <c r="G693" s="26">
        <v>78133.33</v>
      </c>
      <c r="H693" s="27">
        <v>15626.67</v>
      </c>
      <c r="I693" s="34">
        <v>93760</v>
      </c>
    </row>
    <row r="694" spans="1:9" s="18" customFormat="1" ht="21.95" hidden="1" customHeight="1" outlineLevel="2" x14ac:dyDescent="0.2">
      <c r="A694" s="108" t="s">
        <v>631</v>
      </c>
      <c r="B694" s="108"/>
      <c r="C694" s="108"/>
      <c r="D694" s="108"/>
      <c r="E694" s="28" t="s">
        <v>147</v>
      </c>
      <c r="F694" s="29">
        <v>24</v>
      </c>
      <c r="G694" s="30">
        <v>41200</v>
      </c>
      <c r="H694" s="32">
        <v>8240</v>
      </c>
      <c r="I694" s="30">
        <v>49440</v>
      </c>
    </row>
    <row r="695" spans="1:9" s="18" customFormat="1" ht="11.1" hidden="1" customHeight="1" outlineLevel="2" x14ac:dyDescent="0.2">
      <c r="A695" s="108" t="s">
        <v>632</v>
      </c>
      <c r="B695" s="108"/>
      <c r="C695" s="108"/>
      <c r="D695" s="108"/>
      <c r="E695" s="28" t="s">
        <v>147</v>
      </c>
      <c r="F695" s="29">
        <v>8</v>
      </c>
      <c r="G695" s="30">
        <v>22000</v>
      </c>
      <c r="H695" s="32">
        <v>4400</v>
      </c>
      <c r="I695" s="30">
        <v>26400</v>
      </c>
    </row>
    <row r="696" spans="1:9" s="18" customFormat="1" ht="21.95" hidden="1" customHeight="1" outlineLevel="2" collapsed="1" x14ac:dyDescent="0.2">
      <c r="A696" s="108" t="s">
        <v>633</v>
      </c>
      <c r="B696" s="108"/>
      <c r="C696" s="108"/>
      <c r="D696" s="108"/>
      <c r="E696" s="28" t="s">
        <v>147</v>
      </c>
      <c r="F696" s="29">
        <v>8</v>
      </c>
      <c r="G696" s="30">
        <v>14933.33</v>
      </c>
      <c r="H696" s="32">
        <v>2986.67</v>
      </c>
      <c r="I696" s="30">
        <v>17920</v>
      </c>
    </row>
    <row r="697" spans="1:9" s="18" customFormat="1" ht="11.1" hidden="1" customHeight="1" outlineLevel="1" collapsed="1" x14ac:dyDescent="0.2">
      <c r="A697" s="107" t="s">
        <v>634</v>
      </c>
      <c r="B697" s="107"/>
      <c r="C697" s="107"/>
      <c r="D697" s="107"/>
      <c r="E697" s="107"/>
      <c r="F697" s="25">
        <v>3</v>
      </c>
      <c r="G697" s="26">
        <v>2658.33</v>
      </c>
      <c r="H697" s="45">
        <v>531.66999999999996</v>
      </c>
      <c r="I697" s="34">
        <v>3190</v>
      </c>
    </row>
    <row r="698" spans="1:9" s="18" customFormat="1" ht="21.95" hidden="1" customHeight="1" outlineLevel="2" x14ac:dyDescent="0.2">
      <c r="A698" s="108" t="s">
        <v>626</v>
      </c>
      <c r="B698" s="108"/>
      <c r="C698" s="108"/>
      <c r="D698" s="108"/>
      <c r="E698" s="28" t="s">
        <v>147</v>
      </c>
      <c r="F698" s="29">
        <v>1</v>
      </c>
      <c r="G698" s="30">
        <v>1133.33</v>
      </c>
      <c r="H698" s="31">
        <v>226.67</v>
      </c>
      <c r="I698" s="30">
        <v>1360</v>
      </c>
    </row>
    <row r="699" spans="1:9" s="18" customFormat="1" ht="21.95" hidden="1" customHeight="1" outlineLevel="2" x14ac:dyDescent="0.2">
      <c r="A699" s="108" t="s">
        <v>635</v>
      </c>
      <c r="B699" s="108"/>
      <c r="C699" s="108"/>
      <c r="D699" s="108"/>
      <c r="E699" s="28" t="s">
        <v>147</v>
      </c>
      <c r="F699" s="29">
        <v>1</v>
      </c>
      <c r="G699" s="44">
        <v>583.33000000000004</v>
      </c>
      <c r="H699" s="31">
        <v>116.67</v>
      </c>
      <c r="I699" s="44">
        <v>700</v>
      </c>
    </row>
    <row r="700" spans="1:9" s="18" customFormat="1" ht="21.95" hidden="1" customHeight="1" outlineLevel="2" collapsed="1" x14ac:dyDescent="0.2">
      <c r="A700" s="108" t="s">
        <v>636</v>
      </c>
      <c r="B700" s="108"/>
      <c r="C700" s="108"/>
      <c r="D700" s="108"/>
      <c r="E700" s="28" t="s">
        <v>147</v>
      </c>
      <c r="F700" s="29">
        <v>1</v>
      </c>
      <c r="G700" s="44">
        <v>941.67</v>
      </c>
      <c r="H700" s="31">
        <v>188.33</v>
      </c>
      <c r="I700" s="30">
        <v>1130</v>
      </c>
    </row>
    <row r="701" spans="1:9" s="18" customFormat="1" ht="11.1" hidden="1" customHeight="1" outlineLevel="1" collapsed="1" x14ac:dyDescent="0.2">
      <c r="A701" s="107" t="s">
        <v>637</v>
      </c>
      <c r="B701" s="107"/>
      <c r="C701" s="107"/>
      <c r="D701" s="107"/>
      <c r="E701" s="107"/>
      <c r="F701" s="25">
        <v>4</v>
      </c>
      <c r="G701" s="39">
        <v>2637.5</v>
      </c>
      <c r="H701" s="43">
        <v>527.5</v>
      </c>
      <c r="I701" s="34">
        <v>3165</v>
      </c>
    </row>
    <row r="702" spans="1:9" s="18" customFormat="1" ht="11.1" hidden="1" customHeight="1" outlineLevel="2" x14ac:dyDescent="0.2">
      <c r="A702" s="108" t="s">
        <v>638</v>
      </c>
      <c r="B702" s="108"/>
      <c r="C702" s="108"/>
      <c r="D702" s="108"/>
      <c r="E702" s="28" t="s">
        <v>147</v>
      </c>
      <c r="F702" s="29">
        <v>1</v>
      </c>
      <c r="G702" s="44">
        <v>716.67</v>
      </c>
      <c r="H702" s="31">
        <v>143.33000000000001</v>
      </c>
      <c r="I702" s="44">
        <v>860</v>
      </c>
    </row>
    <row r="703" spans="1:9" s="18" customFormat="1" ht="21.95" hidden="1" customHeight="1" outlineLevel="2" x14ac:dyDescent="0.2">
      <c r="A703" s="108" t="s">
        <v>584</v>
      </c>
      <c r="B703" s="108"/>
      <c r="C703" s="108"/>
      <c r="D703" s="108"/>
      <c r="E703" s="28" t="s">
        <v>147</v>
      </c>
      <c r="F703" s="29">
        <v>1</v>
      </c>
      <c r="G703" s="44">
        <v>841.67</v>
      </c>
      <c r="H703" s="31">
        <v>168.33</v>
      </c>
      <c r="I703" s="30">
        <v>1010</v>
      </c>
    </row>
    <row r="704" spans="1:9" s="18" customFormat="1" ht="21.95" hidden="1" customHeight="1" outlineLevel="2" x14ac:dyDescent="0.2">
      <c r="A704" s="108" t="s">
        <v>635</v>
      </c>
      <c r="B704" s="108"/>
      <c r="C704" s="108"/>
      <c r="D704" s="108"/>
      <c r="E704" s="28" t="s">
        <v>147</v>
      </c>
      <c r="F704" s="29">
        <v>1</v>
      </c>
      <c r="G704" s="44">
        <v>583.33000000000004</v>
      </c>
      <c r="H704" s="31">
        <v>116.67</v>
      </c>
      <c r="I704" s="44">
        <v>700</v>
      </c>
    </row>
    <row r="705" spans="1:9" s="18" customFormat="1" ht="21.95" hidden="1" customHeight="1" outlineLevel="2" collapsed="1" x14ac:dyDescent="0.2">
      <c r="A705" s="108" t="s">
        <v>639</v>
      </c>
      <c r="B705" s="108"/>
      <c r="C705" s="108"/>
      <c r="D705" s="108"/>
      <c r="E705" s="28" t="s">
        <v>147</v>
      </c>
      <c r="F705" s="29">
        <v>1</v>
      </c>
      <c r="G705" s="44">
        <v>495.83</v>
      </c>
      <c r="H705" s="31">
        <v>99.17</v>
      </c>
      <c r="I705" s="44">
        <v>595</v>
      </c>
    </row>
    <row r="706" spans="1:9" s="18" customFormat="1" ht="11.1" hidden="1" customHeight="1" outlineLevel="1" collapsed="1" x14ac:dyDescent="0.2">
      <c r="A706" s="107" t="s">
        <v>640</v>
      </c>
      <c r="B706" s="107"/>
      <c r="C706" s="107"/>
      <c r="D706" s="107"/>
      <c r="E706" s="107"/>
      <c r="F706" s="25">
        <v>2</v>
      </c>
      <c r="G706" s="42">
        <v>779.17</v>
      </c>
      <c r="H706" s="45">
        <v>155.83000000000001</v>
      </c>
      <c r="I706" s="52">
        <v>935</v>
      </c>
    </row>
    <row r="707" spans="1:9" s="18" customFormat="1" ht="21.95" hidden="1" customHeight="1" outlineLevel="2" x14ac:dyDescent="0.2">
      <c r="A707" s="108" t="s">
        <v>641</v>
      </c>
      <c r="B707" s="108"/>
      <c r="C707" s="108"/>
      <c r="D707" s="108"/>
      <c r="E707" s="28" t="s">
        <v>147</v>
      </c>
      <c r="F707" s="29">
        <v>1</v>
      </c>
      <c r="G707" s="44">
        <v>337.5</v>
      </c>
      <c r="H707" s="31">
        <v>67.5</v>
      </c>
      <c r="I707" s="44">
        <v>405</v>
      </c>
    </row>
    <row r="708" spans="1:9" s="18" customFormat="1" ht="21.95" hidden="1" customHeight="1" outlineLevel="2" collapsed="1" x14ac:dyDescent="0.2">
      <c r="A708" s="108" t="s">
        <v>602</v>
      </c>
      <c r="B708" s="108"/>
      <c r="C708" s="108"/>
      <c r="D708" s="108"/>
      <c r="E708" s="28" t="s">
        <v>147</v>
      </c>
      <c r="F708" s="29">
        <v>1</v>
      </c>
      <c r="G708" s="44">
        <v>441.67</v>
      </c>
      <c r="H708" s="31">
        <v>88.33</v>
      </c>
      <c r="I708" s="44">
        <v>530</v>
      </c>
    </row>
    <row r="709" spans="1:9" s="18" customFormat="1" ht="11.1" hidden="1" customHeight="1" outlineLevel="1" collapsed="1" x14ac:dyDescent="0.2">
      <c r="A709" s="107" t="s">
        <v>642</v>
      </c>
      <c r="B709" s="107"/>
      <c r="C709" s="107"/>
      <c r="D709" s="107"/>
      <c r="E709" s="107"/>
      <c r="F709" s="25">
        <v>18</v>
      </c>
      <c r="G709" s="26">
        <v>30366.67</v>
      </c>
      <c r="H709" s="27">
        <v>6073.33</v>
      </c>
      <c r="I709" s="34">
        <v>36440</v>
      </c>
    </row>
    <row r="710" spans="1:9" s="18" customFormat="1" ht="21.95" hidden="1" customHeight="1" outlineLevel="2" x14ac:dyDescent="0.2">
      <c r="A710" s="108" t="s">
        <v>593</v>
      </c>
      <c r="B710" s="108"/>
      <c r="C710" s="108"/>
      <c r="D710" s="108"/>
      <c r="E710" s="28" t="s">
        <v>147</v>
      </c>
      <c r="F710" s="29">
        <v>8</v>
      </c>
      <c r="G710" s="30">
        <v>15200</v>
      </c>
      <c r="H710" s="32">
        <v>3040</v>
      </c>
      <c r="I710" s="30">
        <v>18240</v>
      </c>
    </row>
    <row r="711" spans="1:9" s="18" customFormat="1" ht="11.1" hidden="1" customHeight="1" outlineLevel="2" collapsed="1" x14ac:dyDescent="0.2">
      <c r="A711" s="108" t="s">
        <v>594</v>
      </c>
      <c r="B711" s="108"/>
      <c r="C711" s="108"/>
      <c r="D711" s="108"/>
      <c r="E711" s="28" t="s">
        <v>147</v>
      </c>
      <c r="F711" s="29">
        <v>10</v>
      </c>
      <c r="G711" s="30">
        <v>15166.67</v>
      </c>
      <c r="H711" s="32">
        <v>3033.33</v>
      </c>
      <c r="I711" s="30">
        <v>18200</v>
      </c>
    </row>
    <row r="712" spans="1:9" s="18" customFormat="1" ht="11.1" hidden="1" customHeight="1" outlineLevel="1" collapsed="1" x14ac:dyDescent="0.2">
      <c r="A712" s="107" t="s">
        <v>643</v>
      </c>
      <c r="B712" s="107"/>
      <c r="C712" s="107"/>
      <c r="D712" s="107"/>
      <c r="E712" s="107"/>
      <c r="F712" s="25">
        <v>24</v>
      </c>
      <c r="G712" s="26">
        <v>27383.34</v>
      </c>
      <c r="H712" s="27">
        <v>5476.66</v>
      </c>
      <c r="I712" s="34">
        <v>32860</v>
      </c>
    </row>
    <row r="713" spans="1:9" s="18" customFormat="1" ht="11.1" hidden="1" customHeight="1" outlineLevel="2" x14ac:dyDescent="0.2">
      <c r="A713" s="108" t="s">
        <v>561</v>
      </c>
      <c r="B713" s="108"/>
      <c r="C713" s="108"/>
      <c r="D713" s="108"/>
      <c r="E713" s="28" t="s">
        <v>147</v>
      </c>
      <c r="F713" s="29">
        <v>12</v>
      </c>
      <c r="G713" s="30">
        <v>17600</v>
      </c>
      <c r="H713" s="32">
        <v>3520</v>
      </c>
      <c r="I713" s="30">
        <v>21120</v>
      </c>
    </row>
    <row r="714" spans="1:9" s="18" customFormat="1" ht="11.1" hidden="1" customHeight="1" outlineLevel="2" x14ac:dyDescent="0.2">
      <c r="A714" s="108" t="s">
        <v>567</v>
      </c>
      <c r="B714" s="108"/>
      <c r="C714" s="108"/>
      <c r="D714" s="108"/>
      <c r="E714" s="28" t="s">
        <v>147</v>
      </c>
      <c r="F714" s="29">
        <v>2</v>
      </c>
      <c r="G714" s="44">
        <v>800</v>
      </c>
      <c r="H714" s="31">
        <v>160</v>
      </c>
      <c r="I714" s="44">
        <v>960</v>
      </c>
    </row>
    <row r="715" spans="1:9" s="18" customFormat="1" ht="11.1" hidden="1" customHeight="1" outlineLevel="2" x14ac:dyDescent="0.2">
      <c r="A715" s="108" t="s">
        <v>566</v>
      </c>
      <c r="B715" s="108"/>
      <c r="C715" s="108"/>
      <c r="D715" s="108"/>
      <c r="E715" s="28" t="s">
        <v>147</v>
      </c>
      <c r="F715" s="29">
        <v>1</v>
      </c>
      <c r="G715" s="44">
        <v>716.67</v>
      </c>
      <c r="H715" s="31">
        <v>143.33000000000001</v>
      </c>
      <c r="I715" s="44">
        <v>860</v>
      </c>
    </row>
    <row r="716" spans="1:9" s="18" customFormat="1" ht="21.95" hidden="1" customHeight="1" outlineLevel="2" x14ac:dyDescent="0.2">
      <c r="A716" s="108" t="s">
        <v>560</v>
      </c>
      <c r="B716" s="108"/>
      <c r="C716" s="108"/>
      <c r="D716" s="108"/>
      <c r="E716" s="28" t="s">
        <v>147</v>
      </c>
      <c r="F716" s="29">
        <v>1</v>
      </c>
      <c r="G716" s="30">
        <v>1833.33</v>
      </c>
      <c r="H716" s="31">
        <v>366.67</v>
      </c>
      <c r="I716" s="30">
        <v>2200</v>
      </c>
    </row>
    <row r="717" spans="1:9" s="18" customFormat="1" ht="11.1" hidden="1" customHeight="1" outlineLevel="2" x14ac:dyDescent="0.2">
      <c r="A717" s="108" t="s">
        <v>564</v>
      </c>
      <c r="B717" s="108"/>
      <c r="C717" s="108"/>
      <c r="D717" s="108"/>
      <c r="E717" s="28" t="s">
        <v>147</v>
      </c>
      <c r="F717" s="29">
        <v>4</v>
      </c>
      <c r="G717" s="30">
        <v>5266.67</v>
      </c>
      <c r="H717" s="32">
        <v>1053.33</v>
      </c>
      <c r="I717" s="30">
        <v>6320</v>
      </c>
    </row>
    <row r="718" spans="1:9" s="18" customFormat="1" ht="11.1" hidden="1" customHeight="1" outlineLevel="2" collapsed="1" x14ac:dyDescent="0.2">
      <c r="A718" s="108" t="s">
        <v>565</v>
      </c>
      <c r="B718" s="108"/>
      <c r="C718" s="108"/>
      <c r="D718" s="108"/>
      <c r="E718" s="28" t="s">
        <v>147</v>
      </c>
      <c r="F718" s="29">
        <v>4</v>
      </c>
      <c r="G718" s="30">
        <v>1166.67</v>
      </c>
      <c r="H718" s="31">
        <v>233.33</v>
      </c>
      <c r="I718" s="30">
        <v>1400</v>
      </c>
    </row>
    <row r="719" spans="1:9" s="18" customFormat="1" ht="11.1" hidden="1" customHeight="1" outlineLevel="1" collapsed="1" x14ac:dyDescent="0.2">
      <c r="A719" s="107" t="s">
        <v>644</v>
      </c>
      <c r="B719" s="107"/>
      <c r="C719" s="107"/>
      <c r="D719" s="107"/>
      <c r="E719" s="107"/>
      <c r="F719" s="25">
        <v>85</v>
      </c>
      <c r="G719" s="26">
        <v>82583.34</v>
      </c>
      <c r="H719" s="27">
        <v>16516.66</v>
      </c>
      <c r="I719" s="34">
        <v>99100</v>
      </c>
    </row>
    <row r="720" spans="1:9" s="18" customFormat="1" ht="21.95" hidden="1" customHeight="1" outlineLevel="2" x14ac:dyDescent="0.2">
      <c r="A720" s="108" t="s">
        <v>585</v>
      </c>
      <c r="B720" s="108"/>
      <c r="C720" s="108"/>
      <c r="D720" s="108"/>
      <c r="E720" s="28" t="s">
        <v>147</v>
      </c>
      <c r="F720" s="29">
        <v>50</v>
      </c>
      <c r="G720" s="30">
        <v>36250</v>
      </c>
      <c r="H720" s="32">
        <v>7250</v>
      </c>
      <c r="I720" s="30">
        <v>43500</v>
      </c>
    </row>
    <row r="721" spans="1:9" s="18" customFormat="1" ht="21.95" hidden="1" customHeight="1" outlineLevel="2" x14ac:dyDescent="0.2">
      <c r="A721" s="108" t="s">
        <v>570</v>
      </c>
      <c r="B721" s="108"/>
      <c r="C721" s="108"/>
      <c r="D721" s="108"/>
      <c r="E721" s="28" t="s">
        <v>147</v>
      </c>
      <c r="F721" s="29">
        <v>25</v>
      </c>
      <c r="G721" s="30">
        <v>31666.67</v>
      </c>
      <c r="H721" s="32">
        <v>6333.33</v>
      </c>
      <c r="I721" s="30">
        <v>38000</v>
      </c>
    </row>
    <row r="722" spans="1:9" s="18" customFormat="1" ht="11.1" hidden="1" customHeight="1" outlineLevel="2" collapsed="1" x14ac:dyDescent="0.2">
      <c r="A722" s="108" t="s">
        <v>561</v>
      </c>
      <c r="B722" s="108"/>
      <c r="C722" s="108"/>
      <c r="D722" s="108"/>
      <c r="E722" s="28" t="s">
        <v>147</v>
      </c>
      <c r="F722" s="29">
        <v>10</v>
      </c>
      <c r="G722" s="30">
        <v>14666.67</v>
      </c>
      <c r="H722" s="32">
        <v>2933.33</v>
      </c>
      <c r="I722" s="30">
        <v>17600</v>
      </c>
    </row>
    <row r="723" spans="1:9" s="18" customFormat="1" ht="11.1" hidden="1" customHeight="1" outlineLevel="1" collapsed="1" x14ac:dyDescent="0.2">
      <c r="A723" s="107" t="s">
        <v>645</v>
      </c>
      <c r="B723" s="107"/>
      <c r="C723" s="107"/>
      <c r="D723" s="107"/>
      <c r="E723" s="107"/>
      <c r="F723" s="25">
        <v>153</v>
      </c>
      <c r="G723" s="26">
        <v>274716.67</v>
      </c>
      <c r="H723" s="27">
        <v>54943.33</v>
      </c>
      <c r="I723" s="34">
        <v>329660</v>
      </c>
    </row>
    <row r="724" spans="1:9" s="18" customFormat="1" ht="21.95" hidden="1" customHeight="1" outlineLevel="2" x14ac:dyDescent="0.2">
      <c r="A724" s="108" t="s">
        <v>562</v>
      </c>
      <c r="B724" s="108"/>
      <c r="C724" s="108"/>
      <c r="D724" s="108"/>
      <c r="E724" s="28" t="s">
        <v>147</v>
      </c>
      <c r="F724" s="29">
        <v>134</v>
      </c>
      <c r="G724" s="30">
        <v>234500</v>
      </c>
      <c r="H724" s="32">
        <v>46900</v>
      </c>
      <c r="I724" s="30">
        <v>281400</v>
      </c>
    </row>
    <row r="725" spans="1:9" s="18" customFormat="1" ht="11.1" hidden="1" customHeight="1" outlineLevel="2" collapsed="1" x14ac:dyDescent="0.2">
      <c r="A725" s="108" t="s">
        <v>588</v>
      </c>
      <c r="B725" s="108"/>
      <c r="C725" s="108"/>
      <c r="D725" s="108"/>
      <c r="E725" s="28" t="s">
        <v>147</v>
      </c>
      <c r="F725" s="29">
        <v>19</v>
      </c>
      <c r="G725" s="30">
        <v>40216.67</v>
      </c>
      <c r="H725" s="32">
        <v>8043.33</v>
      </c>
      <c r="I725" s="30">
        <v>48260</v>
      </c>
    </row>
    <row r="726" spans="1:9" s="18" customFormat="1" ht="11.1" hidden="1" customHeight="1" outlineLevel="1" collapsed="1" x14ac:dyDescent="0.2">
      <c r="A726" s="107" t="s">
        <v>646</v>
      </c>
      <c r="B726" s="107"/>
      <c r="C726" s="107"/>
      <c r="D726" s="107"/>
      <c r="E726" s="107"/>
      <c r="F726" s="25">
        <v>4</v>
      </c>
      <c r="G726" s="26">
        <v>58666.67</v>
      </c>
      <c r="H726" s="27">
        <v>11733.33</v>
      </c>
      <c r="I726" s="34">
        <v>70400</v>
      </c>
    </row>
    <row r="727" spans="1:9" s="18" customFormat="1" ht="11.1" hidden="1" customHeight="1" outlineLevel="2" collapsed="1" x14ac:dyDescent="0.2">
      <c r="A727" s="108" t="s">
        <v>558</v>
      </c>
      <c r="B727" s="108"/>
      <c r="C727" s="108"/>
      <c r="D727" s="108"/>
      <c r="E727" s="28" t="s">
        <v>147</v>
      </c>
      <c r="F727" s="29">
        <v>4</v>
      </c>
      <c r="G727" s="30">
        <v>58666.67</v>
      </c>
      <c r="H727" s="32">
        <v>11733.33</v>
      </c>
      <c r="I727" s="30">
        <v>70400</v>
      </c>
    </row>
    <row r="728" spans="1:9" s="18" customFormat="1" ht="11.1" hidden="1" customHeight="1" outlineLevel="1" collapsed="1" x14ac:dyDescent="0.2">
      <c r="A728" s="107" t="s">
        <v>647</v>
      </c>
      <c r="B728" s="107"/>
      <c r="C728" s="107"/>
      <c r="D728" s="107"/>
      <c r="E728" s="107"/>
      <c r="F728" s="25">
        <v>50</v>
      </c>
      <c r="G728" s="26">
        <v>3583.33</v>
      </c>
      <c r="H728" s="45">
        <v>716.67</v>
      </c>
      <c r="I728" s="34">
        <v>4300</v>
      </c>
    </row>
    <row r="729" spans="1:9" s="18" customFormat="1" ht="21.95" hidden="1" customHeight="1" outlineLevel="2" collapsed="1" x14ac:dyDescent="0.2">
      <c r="A729" s="108" t="s">
        <v>648</v>
      </c>
      <c r="B729" s="108"/>
      <c r="C729" s="108"/>
      <c r="D729" s="108"/>
      <c r="E729" s="28" t="s">
        <v>147</v>
      </c>
      <c r="F729" s="29">
        <v>50</v>
      </c>
      <c r="G729" s="30">
        <v>3583.33</v>
      </c>
      <c r="H729" s="31">
        <v>716.67</v>
      </c>
      <c r="I729" s="30">
        <v>4300</v>
      </c>
    </row>
    <row r="730" spans="1:9" s="18" customFormat="1" ht="11.1" hidden="1" customHeight="1" outlineLevel="1" collapsed="1" x14ac:dyDescent="0.2">
      <c r="A730" s="107" t="s">
        <v>649</v>
      </c>
      <c r="B730" s="107"/>
      <c r="C730" s="107"/>
      <c r="D730" s="107"/>
      <c r="E730" s="107"/>
      <c r="F730" s="25">
        <v>7</v>
      </c>
      <c r="G730" s="26">
        <v>8220.83</v>
      </c>
      <c r="H730" s="27">
        <v>1644.17</v>
      </c>
      <c r="I730" s="34">
        <v>9865</v>
      </c>
    </row>
    <row r="731" spans="1:9" s="18" customFormat="1" ht="11.1" hidden="1" customHeight="1" outlineLevel="2" x14ac:dyDescent="0.2">
      <c r="A731" s="108" t="s">
        <v>632</v>
      </c>
      <c r="B731" s="108"/>
      <c r="C731" s="108"/>
      <c r="D731" s="108"/>
      <c r="E731" s="28" t="s">
        <v>147</v>
      </c>
      <c r="F731" s="29">
        <v>1</v>
      </c>
      <c r="G731" s="30">
        <v>2750</v>
      </c>
      <c r="H731" s="31">
        <v>550</v>
      </c>
      <c r="I731" s="30">
        <v>3300</v>
      </c>
    </row>
    <row r="732" spans="1:9" s="18" customFormat="1" ht="11.1" hidden="1" customHeight="1" outlineLevel="2" x14ac:dyDescent="0.2">
      <c r="A732" s="108" t="s">
        <v>575</v>
      </c>
      <c r="B732" s="108"/>
      <c r="C732" s="108"/>
      <c r="D732" s="108"/>
      <c r="E732" s="28" t="s">
        <v>147</v>
      </c>
      <c r="F732" s="29">
        <v>1</v>
      </c>
      <c r="G732" s="30">
        <v>1500</v>
      </c>
      <c r="H732" s="31">
        <v>300</v>
      </c>
      <c r="I732" s="30">
        <v>1800</v>
      </c>
    </row>
    <row r="733" spans="1:9" s="18" customFormat="1" ht="21.95" hidden="1" customHeight="1" outlineLevel="2" x14ac:dyDescent="0.2">
      <c r="A733" s="108" t="s">
        <v>573</v>
      </c>
      <c r="B733" s="108"/>
      <c r="C733" s="108"/>
      <c r="D733" s="108"/>
      <c r="E733" s="28" t="s">
        <v>147</v>
      </c>
      <c r="F733" s="29">
        <v>3</v>
      </c>
      <c r="G733" s="30">
        <v>1087.5</v>
      </c>
      <c r="H733" s="31">
        <v>217.5</v>
      </c>
      <c r="I733" s="30">
        <v>1305</v>
      </c>
    </row>
    <row r="734" spans="1:9" s="18" customFormat="1" ht="21.95" hidden="1" customHeight="1" outlineLevel="2" collapsed="1" x14ac:dyDescent="0.2">
      <c r="A734" s="108" t="s">
        <v>650</v>
      </c>
      <c r="B734" s="108"/>
      <c r="C734" s="108"/>
      <c r="D734" s="108"/>
      <c r="E734" s="28" t="s">
        <v>147</v>
      </c>
      <c r="F734" s="29">
        <v>2</v>
      </c>
      <c r="G734" s="30">
        <v>2883.33</v>
      </c>
      <c r="H734" s="31">
        <v>576.66999999999996</v>
      </c>
      <c r="I734" s="30">
        <v>3460</v>
      </c>
    </row>
    <row r="735" spans="1:9" s="18" customFormat="1" ht="11.1" hidden="1" customHeight="1" outlineLevel="1" collapsed="1" x14ac:dyDescent="0.2">
      <c r="A735" s="107" t="s">
        <v>651</v>
      </c>
      <c r="B735" s="107"/>
      <c r="C735" s="107"/>
      <c r="D735" s="107"/>
      <c r="E735" s="107"/>
      <c r="F735" s="25">
        <v>96</v>
      </c>
      <c r="G735" s="26">
        <v>172033.33</v>
      </c>
      <c r="H735" s="27">
        <v>34406.67</v>
      </c>
      <c r="I735" s="34">
        <v>206440</v>
      </c>
    </row>
    <row r="736" spans="1:9" s="18" customFormat="1" ht="11.1" hidden="1" customHeight="1" outlineLevel="2" x14ac:dyDescent="0.2">
      <c r="A736" s="108" t="s">
        <v>588</v>
      </c>
      <c r="B736" s="108"/>
      <c r="C736" s="108"/>
      <c r="D736" s="108"/>
      <c r="E736" s="28" t="s">
        <v>147</v>
      </c>
      <c r="F736" s="29">
        <v>11</v>
      </c>
      <c r="G736" s="30">
        <v>23283.33</v>
      </c>
      <c r="H736" s="32">
        <v>4656.67</v>
      </c>
      <c r="I736" s="30">
        <v>27940</v>
      </c>
    </row>
    <row r="737" spans="1:9" s="18" customFormat="1" ht="21.95" hidden="1" customHeight="1" outlineLevel="2" collapsed="1" x14ac:dyDescent="0.2">
      <c r="A737" s="108" t="s">
        <v>562</v>
      </c>
      <c r="B737" s="108"/>
      <c r="C737" s="108"/>
      <c r="D737" s="108"/>
      <c r="E737" s="28" t="s">
        <v>147</v>
      </c>
      <c r="F737" s="29">
        <v>85</v>
      </c>
      <c r="G737" s="30">
        <v>148750</v>
      </c>
      <c r="H737" s="32">
        <v>29750</v>
      </c>
      <c r="I737" s="30">
        <v>178500</v>
      </c>
    </row>
    <row r="738" spans="1:9" s="18" customFormat="1" ht="11.1" hidden="1" customHeight="1" outlineLevel="1" collapsed="1" x14ac:dyDescent="0.2">
      <c r="A738" s="107" t="s">
        <v>652</v>
      </c>
      <c r="B738" s="107"/>
      <c r="C738" s="107"/>
      <c r="D738" s="107"/>
      <c r="E738" s="107"/>
      <c r="F738" s="25">
        <v>5</v>
      </c>
      <c r="G738" s="34">
        <v>8750</v>
      </c>
      <c r="H738" s="35">
        <v>1750</v>
      </c>
      <c r="I738" s="34">
        <v>10500</v>
      </c>
    </row>
    <row r="739" spans="1:9" s="18" customFormat="1" ht="21.95" hidden="1" customHeight="1" outlineLevel="2" collapsed="1" x14ac:dyDescent="0.2">
      <c r="A739" s="108" t="s">
        <v>562</v>
      </c>
      <c r="B739" s="108"/>
      <c r="C739" s="108"/>
      <c r="D739" s="108"/>
      <c r="E739" s="28" t="s">
        <v>147</v>
      </c>
      <c r="F739" s="29">
        <v>5</v>
      </c>
      <c r="G739" s="30">
        <v>8750</v>
      </c>
      <c r="H739" s="32">
        <v>1750</v>
      </c>
      <c r="I739" s="30">
        <v>10500</v>
      </c>
    </row>
    <row r="740" spans="1:9" s="18" customFormat="1" ht="11.1" hidden="1" customHeight="1" outlineLevel="1" collapsed="1" x14ac:dyDescent="0.2">
      <c r="A740" s="107" t="s">
        <v>653</v>
      </c>
      <c r="B740" s="107"/>
      <c r="C740" s="107"/>
      <c r="D740" s="107"/>
      <c r="E740" s="107"/>
      <c r="F740" s="25">
        <v>31</v>
      </c>
      <c r="G740" s="34">
        <v>54250</v>
      </c>
      <c r="H740" s="35">
        <v>10850</v>
      </c>
      <c r="I740" s="34">
        <v>65100</v>
      </c>
    </row>
    <row r="741" spans="1:9" s="18" customFormat="1" ht="21.95" hidden="1" customHeight="1" outlineLevel="2" collapsed="1" x14ac:dyDescent="0.2">
      <c r="A741" s="108" t="s">
        <v>562</v>
      </c>
      <c r="B741" s="108"/>
      <c r="C741" s="108"/>
      <c r="D741" s="108"/>
      <c r="E741" s="28" t="s">
        <v>147</v>
      </c>
      <c r="F741" s="29">
        <v>31</v>
      </c>
      <c r="G741" s="30">
        <v>54250</v>
      </c>
      <c r="H741" s="32">
        <v>10850</v>
      </c>
      <c r="I741" s="30">
        <v>65100</v>
      </c>
    </row>
    <row r="742" spans="1:9" s="18" customFormat="1" ht="11.1" hidden="1" customHeight="1" outlineLevel="1" collapsed="1" x14ac:dyDescent="0.2">
      <c r="A742" s="107" t="s">
        <v>654</v>
      </c>
      <c r="B742" s="107"/>
      <c r="C742" s="107"/>
      <c r="D742" s="107"/>
      <c r="E742" s="107"/>
      <c r="F742" s="25">
        <v>11</v>
      </c>
      <c r="G742" s="26">
        <v>110833.34</v>
      </c>
      <c r="H742" s="27">
        <v>22166.66</v>
      </c>
      <c r="I742" s="34">
        <v>133000</v>
      </c>
    </row>
    <row r="743" spans="1:9" s="18" customFormat="1" ht="11.1" hidden="1" customHeight="1" outlineLevel="2" x14ac:dyDescent="0.2">
      <c r="A743" s="108" t="s">
        <v>655</v>
      </c>
      <c r="B743" s="108"/>
      <c r="C743" s="108"/>
      <c r="D743" s="108"/>
      <c r="E743" s="28" t="s">
        <v>147</v>
      </c>
      <c r="F743" s="29">
        <v>1</v>
      </c>
      <c r="G743" s="30">
        <v>81666.67</v>
      </c>
      <c r="H743" s="32">
        <v>16333.33</v>
      </c>
      <c r="I743" s="30">
        <v>98000</v>
      </c>
    </row>
    <row r="744" spans="1:9" s="18" customFormat="1" ht="21.95" hidden="1" customHeight="1" outlineLevel="2" collapsed="1" x14ac:dyDescent="0.2">
      <c r="A744" s="108" t="s">
        <v>656</v>
      </c>
      <c r="B744" s="108"/>
      <c r="C744" s="108"/>
      <c r="D744" s="108"/>
      <c r="E744" s="28" t="s">
        <v>147</v>
      </c>
      <c r="F744" s="29">
        <v>10</v>
      </c>
      <c r="G744" s="30">
        <v>29166.67</v>
      </c>
      <c r="H744" s="32">
        <v>5833.33</v>
      </c>
      <c r="I744" s="30">
        <v>35000</v>
      </c>
    </row>
    <row r="745" spans="1:9" s="18" customFormat="1" ht="11.1" hidden="1" customHeight="1" outlineLevel="1" collapsed="1" x14ac:dyDescent="0.2">
      <c r="A745" s="107" t="s">
        <v>657</v>
      </c>
      <c r="B745" s="107"/>
      <c r="C745" s="107"/>
      <c r="D745" s="107"/>
      <c r="E745" s="107"/>
      <c r="F745" s="25">
        <v>20</v>
      </c>
      <c r="G745" s="26">
        <v>30333.33</v>
      </c>
      <c r="H745" s="27">
        <v>6066.67</v>
      </c>
      <c r="I745" s="34">
        <v>36400</v>
      </c>
    </row>
    <row r="746" spans="1:9" s="18" customFormat="1" ht="21.95" hidden="1" customHeight="1" outlineLevel="2" x14ac:dyDescent="0.2">
      <c r="A746" s="108" t="s">
        <v>613</v>
      </c>
      <c r="B746" s="108"/>
      <c r="C746" s="108"/>
      <c r="D746" s="108"/>
      <c r="E746" s="28" t="s">
        <v>147</v>
      </c>
      <c r="F746" s="29">
        <v>10</v>
      </c>
      <c r="G746" s="30">
        <v>19500</v>
      </c>
      <c r="H746" s="32">
        <v>3900</v>
      </c>
      <c r="I746" s="30">
        <v>23400</v>
      </c>
    </row>
    <row r="747" spans="1:9" s="18" customFormat="1" ht="11.1" hidden="1" customHeight="1" outlineLevel="2" collapsed="1" x14ac:dyDescent="0.2">
      <c r="A747" s="108" t="s">
        <v>619</v>
      </c>
      <c r="B747" s="108"/>
      <c r="C747" s="108"/>
      <c r="D747" s="108"/>
      <c r="E747" s="28" t="s">
        <v>147</v>
      </c>
      <c r="F747" s="29">
        <v>10</v>
      </c>
      <c r="G747" s="30">
        <v>10833.33</v>
      </c>
      <c r="H747" s="32">
        <v>2166.67</v>
      </c>
      <c r="I747" s="30">
        <v>13000</v>
      </c>
    </row>
    <row r="748" spans="1:9" s="18" customFormat="1" ht="11.1" hidden="1" customHeight="1" outlineLevel="1" collapsed="1" x14ac:dyDescent="0.2">
      <c r="A748" s="107" t="s">
        <v>658</v>
      </c>
      <c r="B748" s="107"/>
      <c r="C748" s="107"/>
      <c r="D748" s="107"/>
      <c r="E748" s="107"/>
      <c r="F748" s="25">
        <v>1</v>
      </c>
      <c r="G748" s="26">
        <v>3166.67</v>
      </c>
      <c r="H748" s="45">
        <v>633.33000000000004</v>
      </c>
      <c r="I748" s="34">
        <v>3800</v>
      </c>
    </row>
    <row r="749" spans="1:9" s="18" customFormat="1" ht="11.1" hidden="1" customHeight="1" outlineLevel="2" collapsed="1" x14ac:dyDescent="0.2">
      <c r="A749" s="108" t="s">
        <v>659</v>
      </c>
      <c r="B749" s="108"/>
      <c r="C749" s="108"/>
      <c r="D749" s="108"/>
      <c r="E749" s="28" t="s">
        <v>147</v>
      </c>
      <c r="F749" s="29">
        <v>1</v>
      </c>
      <c r="G749" s="30">
        <v>3166.67</v>
      </c>
      <c r="H749" s="31">
        <v>633.33000000000004</v>
      </c>
      <c r="I749" s="30">
        <v>3800</v>
      </c>
    </row>
    <row r="750" spans="1:9" s="18" customFormat="1" ht="11.1" hidden="1" customHeight="1" outlineLevel="1" collapsed="1" x14ac:dyDescent="0.2">
      <c r="A750" s="107" t="s">
        <v>660</v>
      </c>
      <c r="B750" s="107"/>
      <c r="C750" s="107"/>
      <c r="D750" s="107"/>
      <c r="E750" s="107"/>
      <c r="F750" s="25">
        <v>1</v>
      </c>
      <c r="G750" s="42">
        <v>441.67</v>
      </c>
      <c r="H750" s="45">
        <v>88.33</v>
      </c>
      <c r="I750" s="52">
        <v>530</v>
      </c>
    </row>
    <row r="751" spans="1:9" s="18" customFormat="1" ht="21.95" hidden="1" customHeight="1" outlineLevel="2" collapsed="1" x14ac:dyDescent="0.2">
      <c r="A751" s="108" t="s">
        <v>602</v>
      </c>
      <c r="B751" s="108"/>
      <c r="C751" s="108"/>
      <c r="D751" s="108"/>
      <c r="E751" s="28" t="s">
        <v>147</v>
      </c>
      <c r="F751" s="29">
        <v>1</v>
      </c>
      <c r="G751" s="44">
        <v>441.67</v>
      </c>
      <c r="H751" s="31">
        <v>88.33</v>
      </c>
      <c r="I751" s="44">
        <v>530</v>
      </c>
    </row>
    <row r="752" spans="1:9" s="18" customFormat="1" ht="11.1" hidden="1" customHeight="1" outlineLevel="1" collapsed="1" x14ac:dyDescent="0.2">
      <c r="A752" s="107" t="s">
        <v>661</v>
      </c>
      <c r="B752" s="107"/>
      <c r="C752" s="107"/>
      <c r="D752" s="107"/>
      <c r="E752" s="107"/>
      <c r="F752" s="25">
        <v>3</v>
      </c>
      <c r="G752" s="39">
        <v>1512.5</v>
      </c>
      <c r="H752" s="43">
        <v>302.5</v>
      </c>
      <c r="I752" s="34">
        <v>1815</v>
      </c>
    </row>
    <row r="753" spans="1:9" s="18" customFormat="1" ht="11.1" hidden="1" customHeight="1" outlineLevel="2" x14ac:dyDescent="0.2">
      <c r="A753" s="108" t="s">
        <v>662</v>
      </c>
      <c r="B753" s="108"/>
      <c r="C753" s="108"/>
      <c r="D753" s="108"/>
      <c r="E753" s="28" t="s">
        <v>147</v>
      </c>
      <c r="F753" s="29">
        <v>1</v>
      </c>
      <c r="G753" s="44">
        <v>487.5</v>
      </c>
      <c r="H753" s="31">
        <v>97.5</v>
      </c>
      <c r="I753" s="44">
        <v>585</v>
      </c>
    </row>
    <row r="754" spans="1:9" s="18" customFormat="1" ht="21.95" hidden="1" customHeight="1" outlineLevel="2" x14ac:dyDescent="0.2">
      <c r="A754" s="108" t="s">
        <v>635</v>
      </c>
      <c r="B754" s="108"/>
      <c r="C754" s="108"/>
      <c r="D754" s="108"/>
      <c r="E754" s="28" t="s">
        <v>147</v>
      </c>
      <c r="F754" s="29">
        <v>1</v>
      </c>
      <c r="G754" s="44">
        <v>583.33000000000004</v>
      </c>
      <c r="H754" s="31">
        <v>116.67</v>
      </c>
      <c r="I754" s="44">
        <v>700</v>
      </c>
    </row>
    <row r="755" spans="1:9" s="18" customFormat="1" ht="21.95" hidden="1" customHeight="1" outlineLevel="2" collapsed="1" x14ac:dyDescent="0.2">
      <c r="A755" s="108" t="s">
        <v>602</v>
      </c>
      <c r="B755" s="108"/>
      <c r="C755" s="108"/>
      <c r="D755" s="108"/>
      <c r="E755" s="28" t="s">
        <v>147</v>
      </c>
      <c r="F755" s="29">
        <v>1</v>
      </c>
      <c r="G755" s="44">
        <v>441.67</v>
      </c>
      <c r="H755" s="31">
        <v>88.33</v>
      </c>
      <c r="I755" s="44">
        <v>530</v>
      </c>
    </row>
    <row r="756" spans="1:9" s="18" customFormat="1" ht="11.1" hidden="1" customHeight="1" outlineLevel="1" collapsed="1" x14ac:dyDescent="0.2">
      <c r="A756" s="107" t="s">
        <v>663</v>
      </c>
      <c r="B756" s="107"/>
      <c r="C756" s="107"/>
      <c r="D756" s="107"/>
      <c r="E756" s="107"/>
      <c r="F756" s="25">
        <v>4</v>
      </c>
      <c r="G756" s="34">
        <v>5320</v>
      </c>
      <c r="H756" s="35">
        <v>1064</v>
      </c>
      <c r="I756" s="34">
        <v>6384</v>
      </c>
    </row>
    <row r="757" spans="1:9" s="18" customFormat="1" ht="21.95" hidden="1" customHeight="1" outlineLevel="2" x14ac:dyDescent="0.2">
      <c r="A757" s="108" t="s">
        <v>664</v>
      </c>
      <c r="B757" s="108"/>
      <c r="C757" s="108"/>
      <c r="D757" s="108"/>
      <c r="E757" s="28" t="s">
        <v>147</v>
      </c>
      <c r="F757" s="29">
        <v>2</v>
      </c>
      <c r="G757" s="30">
        <v>4433.33</v>
      </c>
      <c r="H757" s="31">
        <v>886.67</v>
      </c>
      <c r="I757" s="30">
        <v>5320</v>
      </c>
    </row>
    <row r="758" spans="1:9" s="18" customFormat="1" ht="11.1" hidden="1" customHeight="1" outlineLevel="2" x14ac:dyDescent="0.2">
      <c r="A758" s="108" t="s">
        <v>662</v>
      </c>
      <c r="B758" s="108"/>
      <c r="C758" s="108"/>
      <c r="D758" s="108"/>
      <c r="E758" s="28" t="s">
        <v>147</v>
      </c>
      <c r="F758" s="29">
        <v>1</v>
      </c>
      <c r="G758" s="44">
        <v>487.5</v>
      </c>
      <c r="H758" s="31">
        <v>97.5</v>
      </c>
      <c r="I758" s="44">
        <v>585</v>
      </c>
    </row>
    <row r="759" spans="1:9" s="18" customFormat="1" ht="21.95" hidden="1" customHeight="1" outlineLevel="2" collapsed="1" x14ac:dyDescent="0.2">
      <c r="A759" s="108" t="s">
        <v>629</v>
      </c>
      <c r="B759" s="108"/>
      <c r="C759" s="108"/>
      <c r="D759" s="108"/>
      <c r="E759" s="28" t="s">
        <v>147</v>
      </c>
      <c r="F759" s="29">
        <v>1</v>
      </c>
      <c r="G759" s="44">
        <v>399.17</v>
      </c>
      <c r="H759" s="31">
        <v>79.83</v>
      </c>
      <c r="I759" s="44">
        <v>479</v>
      </c>
    </row>
    <row r="760" spans="1:9" s="18" customFormat="1" ht="11.1" hidden="1" customHeight="1" outlineLevel="1" collapsed="1" x14ac:dyDescent="0.2">
      <c r="A760" s="107" t="s">
        <v>665</v>
      </c>
      <c r="B760" s="107"/>
      <c r="C760" s="107"/>
      <c r="D760" s="107"/>
      <c r="E760" s="107"/>
      <c r="F760" s="25">
        <v>159</v>
      </c>
      <c r="G760" s="26">
        <v>277166.67</v>
      </c>
      <c r="H760" s="27">
        <v>55433.33</v>
      </c>
      <c r="I760" s="34">
        <v>332600</v>
      </c>
    </row>
    <row r="761" spans="1:9" s="18" customFormat="1" ht="11.1" hidden="1" customHeight="1" outlineLevel="2" x14ac:dyDescent="0.2">
      <c r="A761" s="108" t="s">
        <v>587</v>
      </c>
      <c r="B761" s="108"/>
      <c r="C761" s="108"/>
      <c r="D761" s="108"/>
      <c r="E761" s="28" t="s">
        <v>147</v>
      </c>
      <c r="F761" s="29">
        <v>23</v>
      </c>
      <c r="G761" s="30">
        <v>32200</v>
      </c>
      <c r="H761" s="32">
        <v>6440</v>
      </c>
      <c r="I761" s="30">
        <v>38640</v>
      </c>
    </row>
    <row r="762" spans="1:9" s="18" customFormat="1" ht="11.1" hidden="1" customHeight="1" outlineLevel="2" x14ac:dyDescent="0.2">
      <c r="A762" s="108" t="s">
        <v>588</v>
      </c>
      <c r="B762" s="108"/>
      <c r="C762" s="108"/>
      <c r="D762" s="108"/>
      <c r="E762" s="28" t="s">
        <v>147</v>
      </c>
      <c r="F762" s="29">
        <v>19</v>
      </c>
      <c r="G762" s="30">
        <v>40216.67</v>
      </c>
      <c r="H762" s="32">
        <v>8043.33</v>
      </c>
      <c r="I762" s="30">
        <v>48260</v>
      </c>
    </row>
    <row r="763" spans="1:9" s="18" customFormat="1" ht="21.95" hidden="1" customHeight="1" outlineLevel="2" collapsed="1" x14ac:dyDescent="0.2">
      <c r="A763" s="108" t="s">
        <v>562</v>
      </c>
      <c r="B763" s="108"/>
      <c r="C763" s="108"/>
      <c r="D763" s="108"/>
      <c r="E763" s="28" t="s">
        <v>147</v>
      </c>
      <c r="F763" s="29">
        <v>117</v>
      </c>
      <c r="G763" s="30">
        <v>204750</v>
      </c>
      <c r="H763" s="32">
        <v>40950</v>
      </c>
      <c r="I763" s="30">
        <v>245700</v>
      </c>
    </row>
    <row r="764" spans="1:9" s="18" customFormat="1" ht="11.1" hidden="1" customHeight="1" outlineLevel="1" collapsed="1" x14ac:dyDescent="0.2">
      <c r="A764" s="107" t="s">
        <v>666</v>
      </c>
      <c r="B764" s="107"/>
      <c r="C764" s="107"/>
      <c r="D764" s="107"/>
      <c r="E764" s="107"/>
      <c r="F764" s="25">
        <v>29</v>
      </c>
      <c r="G764" s="34">
        <v>49000</v>
      </c>
      <c r="H764" s="35">
        <v>9800</v>
      </c>
      <c r="I764" s="34">
        <v>58800</v>
      </c>
    </row>
    <row r="765" spans="1:9" s="18" customFormat="1" ht="11.1" hidden="1" customHeight="1" outlineLevel="2" x14ac:dyDescent="0.2">
      <c r="A765" s="108" t="s">
        <v>587</v>
      </c>
      <c r="B765" s="108"/>
      <c r="C765" s="108"/>
      <c r="D765" s="108"/>
      <c r="E765" s="28" t="s">
        <v>147</v>
      </c>
      <c r="F765" s="29">
        <v>5</v>
      </c>
      <c r="G765" s="30">
        <v>7000</v>
      </c>
      <c r="H765" s="32">
        <v>1400</v>
      </c>
      <c r="I765" s="30">
        <v>8400</v>
      </c>
    </row>
    <row r="766" spans="1:9" s="18" customFormat="1" ht="21.95" hidden="1" customHeight="1" outlineLevel="2" collapsed="1" x14ac:dyDescent="0.2">
      <c r="A766" s="108" t="s">
        <v>562</v>
      </c>
      <c r="B766" s="108"/>
      <c r="C766" s="108"/>
      <c r="D766" s="108"/>
      <c r="E766" s="28" t="s">
        <v>147</v>
      </c>
      <c r="F766" s="29">
        <v>24</v>
      </c>
      <c r="G766" s="30">
        <v>42000</v>
      </c>
      <c r="H766" s="32">
        <v>8400</v>
      </c>
      <c r="I766" s="30">
        <v>50400</v>
      </c>
    </row>
    <row r="767" spans="1:9" s="18" customFormat="1" ht="11.1" hidden="1" customHeight="1" outlineLevel="1" collapsed="1" x14ac:dyDescent="0.2">
      <c r="A767" s="107" t="s">
        <v>667</v>
      </c>
      <c r="B767" s="107"/>
      <c r="C767" s="107"/>
      <c r="D767" s="107"/>
      <c r="E767" s="107"/>
      <c r="F767" s="25">
        <v>10</v>
      </c>
      <c r="G767" s="26">
        <v>21166.67</v>
      </c>
      <c r="H767" s="27">
        <v>4233.33</v>
      </c>
      <c r="I767" s="34">
        <v>25400</v>
      </c>
    </row>
    <row r="768" spans="1:9" s="18" customFormat="1" ht="11.1" hidden="1" customHeight="1" outlineLevel="2" collapsed="1" x14ac:dyDescent="0.2">
      <c r="A768" s="108" t="s">
        <v>588</v>
      </c>
      <c r="B768" s="108"/>
      <c r="C768" s="108"/>
      <c r="D768" s="108"/>
      <c r="E768" s="28" t="s">
        <v>147</v>
      </c>
      <c r="F768" s="29">
        <v>10</v>
      </c>
      <c r="G768" s="30">
        <v>21166.67</v>
      </c>
      <c r="H768" s="32">
        <v>4233.33</v>
      </c>
      <c r="I768" s="30">
        <v>25400</v>
      </c>
    </row>
    <row r="769" spans="1:10" s="18" customFormat="1" ht="11.1" hidden="1" customHeight="1" outlineLevel="1" collapsed="1" x14ac:dyDescent="0.2">
      <c r="A769" s="107" t="s">
        <v>668</v>
      </c>
      <c r="B769" s="107"/>
      <c r="C769" s="107"/>
      <c r="D769" s="107"/>
      <c r="E769" s="107"/>
      <c r="F769" s="25">
        <v>36</v>
      </c>
      <c r="G769" s="34">
        <v>53900</v>
      </c>
      <c r="H769" s="35">
        <v>10780</v>
      </c>
      <c r="I769" s="34">
        <v>64680</v>
      </c>
    </row>
    <row r="770" spans="1:10" s="18" customFormat="1" ht="11.1" hidden="1" customHeight="1" outlineLevel="2" x14ac:dyDescent="0.2">
      <c r="A770" s="108" t="s">
        <v>587</v>
      </c>
      <c r="B770" s="108"/>
      <c r="C770" s="108"/>
      <c r="D770" s="108"/>
      <c r="E770" s="28" t="s">
        <v>147</v>
      </c>
      <c r="F770" s="29">
        <v>26</v>
      </c>
      <c r="G770" s="30">
        <v>36400</v>
      </c>
      <c r="H770" s="32">
        <v>7280</v>
      </c>
      <c r="I770" s="30">
        <v>43680</v>
      </c>
    </row>
    <row r="771" spans="1:10" s="18" customFormat="1" ht="21.95" hidden="1" customHeight="1" outlineLevel="2" collapsed="1" x14ac:dyDescent="0.2">
      <c r="A771" s="108" t="s">
        <v>562</v>
      </c>
      <c r="B771" s="108"/>
      <c r="C771" s="108"/>
      <c r="D771" s="108"/>
      <c r="E771" s="28" t="s">
        <v>147</v>
      </c>
      <c r="F771" s="29">
        <v>10</v>
      </c>
      <c r="G771" s="30">
        <v>17500</v>
      </c>
      <c r="H771" s="32">
        <v>3500</v>
      </c>
      <c r="I771" s="30">
        <v>21000</v>
      </c>
    </row>
    <row r="772" spans="1:10" s="18" customFormat="1" ht="11.1" hidden="1" customHeight="1" outlineLevel="1" collapsed="1" x14ac:dyDescent="0.2">
      <c r="A772" s="107" t="s">
        <v>669</v>
      </c>
      <c r="B772" s="107"/>
      <c r="C772" s="107"/>
      <c r="D772" s="107"/>
      <c r="E772" s="107"/>
      <c r="F772" s="25">
        <v>1</v>
      </c>
      <c r="G772" s="34">
        <v>2300</v>
      </c>
      <c r="H772" s="46">
        <v>460</v>
      </c>
      <c r="I772" s="34">
        <v>2760</v>
      </c>
    </row>
    <row r="773" spans="1:10" s="18" customFormat="1" ht="21.95" hidden="1" customHeight="1" outlineLevel="2" x14ac:dyDescent="0.2">
      <c r="A773" s="108" t="s">
        <v>670</v>
      </c>
      <c r="B773" s="108"/>
      <c r="C773" s="108"/>
      <c r="D773" s="108"/>
      <c r="E773" s="28" t="s">
        <v>147</v>
      </c>
      <c r="F773" s="29">
        <v>1</v>
      </c>
      <c r="G773" s="30">
        <v>2300</v>
      </c>
      <c r="H773" s="31">
        <v>460</v>
      </c>
      <c r="I773" s="30">
        <v>2760</v>
      </c>
    </row>
    <row r="774" spans="1:10" ht="11.1" customHeight="1" collapsed="1" x14ac:dyDescent="0.2">
      <c r="A774" s="109" t="s">
        <v>671</v>
      </c>
      <c r="B774" s="109"/>
      <c r="C774" s="109"/>
      <c r="D774" s="109"/>
      <c r="E774" s="109"/>
      <c r="F774" s="47">
        <v>2780</v>
      </c>
      <c r="G774" s="36">
        <v>175140</v>
      </c>
      <c r="H774" s="37">
        <v>35028</v>
      </c>
      <c r="I774" s="36">
        <v>210168</v>
      </c>
      <c r="J774" s="20" t="s">
        <v>1335</v>
      </c>
    </row>
    <row r="775" spans="1:10" s="18" customFormat="1" ht="11.1" hidden="1" customHeight="1" outlineLevel="1" collapsed="1" x14ac:dyDescent="0.2">
      <c r="A775" s="107" t="s">
        <v>672</v>
      </c>
      <c r="B775" s="107"/>
      <c r="C775" s="107"/>
      <c r="D775" s="107"/>
      <c r="E775" s="107"/>
      <c r="F775" s="25">
        <v>450</v>
      </c>
      <c r="G775" s="34">
        <v>28350</v>
      </c>
      <c r="H775" s="35">
        <v>5670</v>
      </c>
      <c r="I775" s="34">
        <v>34020</v>
      </c>
    </row>
    <row r="776" spans="1:10" s="18" customFormat="1" ht="21.95" hidden="1" customHeight="1" outlineLevel="2" collapsed="1" x14ac:dyDescent="0.2">
      <c r="A776" s="108" t="s">
        <v>673</v>
      </c>
      <c r="B776" s="108"/>
      <c r="C776" s="108"/>
      <c r="D776" s="108"/>
      <c r="E776" s="28" t="s">
        <v>147</v>
      </c>
      <c r="F776" s="29">
        <v>450</v>
      </c>
      <c r="G776" s="30">
        <v>28350</v>
      </c>
      <c r="H776" s="32">
        <v>5670</v>
      </c>
      <c r="I776" s="30">
        <v>34020</v>
      </c>
    </row>
    <row r="777" spans="1:10" s="18" customFormat="1" ht="11.1" hidden="1" customHeight="1" outlineLevel="1" collapsed="1" x14ac:dyDescent="0.2">
      <c r="A777" s="107" t="s">
        <v>674</v>
      </c>
      <c r="B777" s="107"/>
      <c r="C777" s="107"/>
      <c r="D777" s="107"/>
      <c r="E777" s="107"/>
      <c r="F777" s="25">
        <v>90</v>
      </c>
      <c r="G777" s="34">
        <v>5670</v>
      </c>
      <c r="H777" s="35">
        <v>1134</v>
      </c>
      <c r="I777" s="34">
        <v>6804</v>
      </c>
    </row>
    <row r="778" spans="1:10" s="18" customFormat="1" ht="21.95" hidden="1" customHeight="1" outlineLevel="2" collapsed="1" x14ac:dyDescent="0.2">
      <c r="A778" s="108" t="s">
        <v>673</v>
      </c>
      <c r="B778" s="108"/>
      <c r="C778" s="108"/>
      <c r="D778" s="108"/>
      <c r="E778" s="28" t="s">
        <v>147</v>
      </c>
      <c r="F778" s="29">
        <v>90</v>
      </c>
      <c r="G778" s="30">
        <v>5670</v>
      </c>
      <c r="H778" s="32">
        <v>1134</v>
      </c>
      <c r="I778" s="30">
        <v>6804</v>
      </c>
    </row>
    <row r="779" spans="1:10" s="18" customFormat="1" ht="11.1" hidden="1" customHeight="1" outlineLevel="1" collapsed="1" x14ac:dyDescent="0.2">
      <c r="A779" s="107" t="s">
        <v>675</v>
      </c>
      <c r="B779" s="107"/>
      <c r="C779" s="107"/>
      <c r="D779" s="107"/>
      <c r="E779" s="107"/>
      <c r="F779" s="25">
        <v>40</v>
      </c>
      <c r="G779" s="34">
        <v>2520</v>
      </c>
      <c r="H779" s="46">
        <v>504</v>
      </c>
      <c r="I779" s="34">
        <v>3024</v>
      </c>
    </row>
    <row r="780" spans="1:10" s="18" customFormat="1" ht="21.95" hidden="1" customHeight="1" outlineLevel="2" collapsed="1" x14ac:dyDescent="0.2">
      <c r="A780" s="108" t="s">
        <v>673</v>
      </c>
      <c r="B780" s="108"/>
      <c r="C780" s="108"/>
      <c r="D780" s="108"/>
      <c r="E780" s="28" t="s">
        <v>147</v>
      </c>
      <c r="F780" s="29">
        <v>40</v>
      </c>
      <c r="G780" s="30">
        <v>2520</v>
      </c>
      <c r="H780" s="31">
        <v>504</v>
      </c>
      <c r="I780" s="30">
        <v>3024</v>
      </c>
    </row>
    <row r="781" spans="1:10" s="18" customFormat="1" ht="11.1" hidden="1" customHeight="1" outlineLevel="1" collapsed="1" x14ac:dyDescent="0.2">
      <c r="A781" s="107" t="s">
        <v>676</v>
      </c>
      <c r="B781" s="107"/>
      <c r="C781" s="107"/>
      <c r="D781" s="107"/>
      <c r="E781" s="107"/>
      <c r="F781" s="25">
        <v>220</v>
      </c>
      <c r="G781" s="34">
        <v>13860</v>
      </c>
      <c r="H781" s="35">
        <v>2772</v>
      </c>
      <c r="I781" s="34">
        <v>16632</v>
      </c>
    </row>
    <row r="782" spans="1:10" s="18" customFormat="1" ht="21.95" hidden="1" customHeight="1" outlineLevel="2" collapsed="1" x14ac:dyDescent="0.2">
      <c r="A782" s="108" t="s">
        <v>673</v>
      </c>
      <c r="B782" s="108"/>
      <c r="C782" s="108"/>
      <c r="D782" s="108"/>
      <c r="E782" s="28" t="s">
        <v>147</v>
      </c>
      <c r="F782" s="29">
        <v>220</v>
      </c>
      <c r="G782" s="30">
        <v>13860</v>
      </c>
      <c r="H782" s="32">
        <v>2772</v>
      </c>
      <c r="I782" s="30">
        <v>16632</v>
      </c>
    </row>
    <row r="783" spans="1:10" s="18" customFormat="1" ht="11.1" hidden="1" customHeight="1" outlineLevel="1" collapsed="1" x14ac:dyDescent="0.2">
      <c r="A783" s="107" t="s">
        <v>677</v>
      </c>
      <c r="B783" s="107"/>
      <c r="C783" s="107"/>
      <c r="D783" s="107"/>
      <c r="E783" s="107"/>
      <c r="F783" s="25">
        <v>210</v>
      </c>
      <c r="G783" s="34">
        <v>13230</v>
      </c>
      <c r="H783" s="35">
        <v>2646</v>
      </c>
      <c r="I783" s="34">
        <v>15876</v>
      </c>
    </row>
    <row r="784" spans="1:10" s="18" customFormat="1" ht="21.95" hidden="1" customHeight="1" outlineLevel="2" collapsed="1" x14ac:dyDescent="0.2">
      <c r="A784" s="108" t="s">
        <v>673</v>
      </c>
      <c r="B784" s="108"/>
      <c r="C784" s="108"/>
      <c r="D784" s="108"/>
      <c r="E784" s="28" t="s">
        <v>147</v>
      </c>
      <c r="F784" s="29">
        <v>210</v>
      </c>
      <c r="G784" s="30">
        <v>13230</v>
      </c>
      <c r="H784" s="32">
        <v>2646</v>
      </c>
      <c r="I784" s="30">
        <v>15876</v>
      </c>
    </row>
    <row r="785" spans="1:10" s="18" customFormat="1" ht="11.1" hidden="1" customHeight="1" outlineLevel="1" collapsed="1" x14ac:dyDescent="0.2">
      <c r="A785" s="107" t="s">
        <v>678</v>
      </c>
      <c r="B785" s="107"/>
      <c r="C785" s="107"/>
      <c r="D785" s="107"/>
      <c r="E785" s="107"/>
      <c r="F785" s="25">
        <v>90</v>
      </c>
      <c r="G785" s="34">
        <v>5670</v>
      </c>
      <c r="H785" s="35">
        <v>1134</v>
      </c>
      <c r="I785" s="34">
        <v>6804</v>
      </c>
    </row>
    <row r="786" spans="1:10" s="18" customFormat="1" ht="21.95" hidden="1" customHeight="1" outlineLevel="2" collapsed="1" x14ac:dyDescent="0.2">
      <c r="A786" s="108" t="s">
        <v>673</v>
      </c>
      <c r="B786" s="108"/>
      <c r="C786" s="108"/>
      <c r="D786" s="108"/>
      <c r="E786" s="28" t="s">
        <v>147</v>
      </c>
      <c r="F786" s="29">
        <v>90</v>
      </c>
      <c r="G786" s="30">
        <v>5670</v>
      </c>
      <c r="H786" s="32">
        <v>1134</v>
      </c>
      <c r="I786" s="30">
        <v>6804</v>
      </c>
    </row>
    <row r="787" spans="1:10" s="18" customFormat="1" ht="11.1" hidden="1" customHeight="1" outlineLevel="1" collapsed="1" x14ac:dyDescent="0.2">
      <c r="A787" s="107" t="s">
        <v>679</v>
      </c>
      <c r="B787" s="107"/>
      <c r="C787" s="107"/>
      <c r="D787" s="107"/>
      <c r="E787" s="107"/>
      <c r="F787" s="25">
        <v>880</v>
      </c>
      <c r="G787" s="34">
        <v>55440</v>
      </c>
      <c r="H787" s="35">
        <v>11088</v>
      </c>
      <c r="I787" s="34">
        <v>66528</v>
      </c>
    </row>
    <row r="788" spans="1:10" s="18" customFormat="1" ht="21.95" hidden="1" customHeight="1" outlineLevel="2" collapsed="1" x14ac:dyDescent="0.2">
      <c r="A788" s="108" t="s">
        <v>673</v>
      </c>
      <c r="B788" s="108"/>
      <c r="C788" s="108"/>
      <c r="D788" s="108"/>
      <c r="E788" s="28" t="s">
        <v>147</v>
      </c>
      <c r="F788" s="29">
        <v>880</v>
      </c>
      <c r="G788" s="30">
        <v>55440</v>
      </c>
      <c r="H788" s="32">
        <v>11088</v>
      </c>
      <c r="I788" s="30">
        <v>66528</v>
      </c>
    </row>
    <row r="789" spans="1:10" s="18" customFormat="1" ht="11.1" hidden="1" customHeight="1" outlineLevel="1" collapsed="1" x14ac:dyDescent="0.2">
      <c r="A789" s="107" t="s">
        <v>680</v>
      </c>
      <c r="B789" s="107"/>
      <c r="C789" s="107"/>
      <c r="D789" s="107"/>
      <c r="E789" s="107"/>
      <c r="F789" s="25">
        <v>650</v>
      </c>
      <c r="G789" s="34">
        <v>40950</v>
      </c>
      <c r="H789" s="35">
        <v>8190</v>
      </c>
      <c r="I789" s="34">
        <v>49140</v>
      </c>
    </row>
    <row r="790" spans="1:10" s="18" customFormat="1" ht="21.95" hidden="1" customHeight="1" outlineLevel="2" collapsed="1" x14ac:dyDescent="0.2">
      <c r="A790" s="108" t="s">
        <v>673</v>
      </c>
      <c r="B790" s="108"/>
      <c r="C790" s="108"/>
      <c r="D790" s="108"/>
      <c r="E790" s="28" t="s">
        <v>147</v>
      </c>
      <c r="F790" s="29">
        <v>650</v>
      </c>
      <c r="G790" s="30">
        <v>40950</v>
      </c>
      <c r="H790" s="32">
        <v>8190</v>
      </c>
      <c r="I790" s="30">
        <v>49140</v>
      </c>
    </row>
    <row r="791" spans="1:10" s="18" customFormat="1" ht="11.1" hidden="1" customHeight="1" outlineLevel="1" collapsed="1" x14ac:dyDescent="0.2">
      <c r="A791" s="107" t="s">
        <v>681</v>
      </c>
      <c r="B791" s="107"/>
      <c r="C791" s="107"/>
      <c r="D791" s="107"/>
      <c r="E791" s="107"/>
      <c r="F791" s="25">
        <v>60</v>
      </c>
      <c r="G791" s="34">
        <v>3780</v>
      </c>
      <c r="H791" s="46">
        <v>756</v>
      </c>
      <c r="I791" s="34">
        <v>4536</v>
      </c>
    </row>
    <row r="792" spans="1:10" s="18" customFormat="1" ht="21.95" hidden="1" customHeight="1" outlineLevel="2" collapsed="1" x14ac:dyDescent="0.2">
      <c r="A792" s="108" t="s">
        <v>673</v>
      </c>
      <c r="B792" s="108"/>
      <c r="C792" s="108"/>
      <c r="D792" s="108"/>
      <c r="E792" s="28" t="s">
        <v>147</v>
      </c>
      <c r="F792" s="29">
        <v>60</v>
      </c>
      <c r="G792" s="30">
        <v>3780</v>
      </c>
      <c r="H792" s="31">
        <v>756</v>
      </c>
      <c r="I792" s="30">
        <v>4536</v>
      </c>
    </row>
    <row r="793" spans="1:10" s="18" customFormat="1" ht="11.1" hidden="1" customHeight="1" outlineLevel="1" collapsed="1" x14ac:dyDescent="0.2">
      <c r="A793" s="107" t="s">
        <v>682</v>
      </c>
      <c r="B793" s="107"/>
      <c r="C793" s="107"/>
      <c r="D793" s="107"/>
      <c r="E793" s="107"/>
      <c r="F793" s="25">
        <v>90</v>
      </c>
      <c r="G793" s="34">
        <v>5670</v>
      </c>
      <c r="H793" s="35">
        <v>1134</v>
      </c>
      <c r="I793" s="34">
        <v>6804</v>
      </c>
    </row>
    <row r="794" spans="1:10" s="18" customFormat="1" ht="21.95" hidden="1" customHeight="1" outlineLevel="2" x14ac:dyDescent="0.2">
      <c r="A794" s="108" t="s">
        <v>673</v>
      </c>
      <c r="B794" s="108"/>
      <c r="C794" s="108"/>
      <c r="D794" s="108"/>
      <c r="E794" s="28" t="s">
        <v>147</v>
      </c>
      <c r="F794" s="29">
        <v>90</v>
      </c>
      <c r="G794" s="30">
        <v>5670</v>
      </c>
      <c r="H794" s="32">
        <v>1134</v>
      </c>
      <c r="I794" s="30">
        <v>6804</v>
      </c>
    </row>
    <row r="795" spans="1:10" ht="11.1" customHeight="1" x14ac:dyDescent="0.2">
      <c r="A795" s="109" t="s">
        <v>683</v>
      </c>
      <c r="B795" s="109"/>
      <c r="C795" s="109"/>
      <c r="D795" s="109"/>
      <c r="E795" s="109"/>
      <c r="F795" s="22">
        <v>84</v>
      </c>
      <c r="G795" s="36">
        <v>315000</v>
      </c>
      <c r="H795" s="37">
        <v>63000</v>
      </c>
      <c r="I795" s="36">
        <v>378000</v>
      </c>
      <c r="J795" s="20" t="s">
        <v>1335</v>
      </c>
    </row>
    <row r="796" spans="1:10" s="18" customFormat="1" ht="11.1" customHeight="1" outlineLevel="1" x14ac:dyDescent="0.2">
      <c r="A796" s="107" t="s">
        <v>684</v>
      </c>
      <c r="B796" s="107"/>
      <c r="C796" s="107"/>
      <c r="D796" s="107"/>
      <c r="E796" s="107"/>
      <c r="F796" s="25">
        <v>27</v>
      </c>
      <c r="G796" s="34">
        <v>101250</v>
      </c>
      <c r="H796" s="35">
        <v>20250</v>
      </c>
      <c r="I796" s="34">
        <v>121500</v>
      </c>
    </row>
    <row r="797" spans="1:10" s="18" customFormat="1" ht="21.95" customHeight="1" outlineLevel="2" collapsed="1" x14ac:dyDescent="0.2">
      <c r="A797" s="108" t="s">
        <v>685</v>
      </c>
      <c r="B797" s="108"/>
      <c r="C797" s="108"/>
      <c r="D797" s="108"/>
      <c r="E797" s="28" t="s">
        <v>147</v>
      </c>
      <c r="F797" s="29">
        <v>27</v>
      </c>
      <c r="G797" s="30">
        <v>101250</v>
      </c>
      <c r="H797" s="32">
        <v>20250</v>
      </c>
      <c r="I797" s="30">
        <v>121500</v>
      </c>
    </row>
    <row r="798" spans="1:10" s="18" customFormat="1" ht="11.1" customHeight="1" outlineLevel="1" x14ac:dyDescent="0.2">
      <c r="A798" s="107" t="s">
        <v>686</v>
      </c>
      <c r="B798" s="107"/>
      <c r="C798" s="107"/>
      <c r="D798" s="107"/>
      <c r="E798" s="107"/>
      <c r="F798" s="25">
        <v>57</v>
      </c>
      <c r="G798" s="34">
        <v>213750</v>
      </c>
      <c r="H798" s="35">
        <v>42750</v>
      </c>
      <c r="I798" s="34">
        <v>256500</v>
      </c>
    </row>
    <row r="799" spans="1:10" s="18" customFormat="1" ht="21.95" customHeight="1" outlineLevel="2" x14ac:dyDescent="0.2">
      <c r="A799" s="108" t="s">
        <v>685</v>
      </c>
      <c r="B799" s="108"/>
      <c r="C799" s="108"/>
      <c r="D799" s="108"/>
      <c r="E799" s="28" t="s">
        <v>147</v>
      </c>
      <c r="F799" s="29">
        <v>57</v>
      </c>
      <c r="G799" s="30">
        <v>213750</v>
      </c>
      <c r="H799" s="32">
        <v>42750</v>
      </c>
      <c r="I799" s="30">
        <v>256500</v>
      </c>
    </row>
    <row r="800" spans="1:10" ht="11.1" customHeight="1" collapsed="1" x14ac:dyDescent="0.2">
      <c r="A800" s="109" t="s">
        <v>687</v>
      </c>
      <c r="B800" s="109"/>
      <c r="C800" s="109"/>
      <c r="D800" s="109"/>
      <c r="E800" s="109"/>
      <c r="F800" s="22">
        <v>2</v>
      </c>
      <c r="G800" s="23">
        <v>150326.04</v>
      </c>
      <c r="H800" s="24">
        <v>30065.21</v>
      </c>
      <c r="I800" s="23">
        <v>180391.25</v>
      </c>
      <c r="J800" s="20" t="s">
        <v>1335</v>
      </c>
    </row>
    <row r="801" spans="1:10" s="18" customFormat="1" ht="11.1" hidden="1" customHeight="1" outlineLevel="1" collapsed="1" x14ac:dyDescent="0.2">
      <c r="A801" s="107" t="s">
        <v>688</v>
      </c>
      <c r="B801" s="107"/>
      <c r="C801" s="107"/>
      <c r="D801" s="107"/>
      <c r="E801" s="107"/>
      <c r="F801" s="25">
        <v>2</v>
      </c>
      <c r="G801" s="26">
        <v>150326.04</v>
      </c>
      <c r="H801" s="27">
        <v>30065.21</v>
      </c>
      <c r="I801" s="26">
        <v>180391.25</v>
      </c>
    </row>
    <row r="802" spans="1:10" s="18" customFormat="1" ht="11.1" hidden="1" customHeight="1" outlineLevel="2" x14ac:dyDescent="0.2">
      <c r="A802" s="108" t="s">
        <v>689</v>
      </c>
      <c r="B802" s="108"/>
      <c r="C802" s="108"/>
      <c r="D802" s="108"/>
      <c r="E802" s="28" t="s">
        <v>147</v>
      </c>
      <c r="F802" s="29">
        <v>1</v>
      </c>
      <c r="G802" s="30">
        <v>23251.040000000001</v>
      </c>
      <c r="H802" s="32">
        <v>4650.21</v>
      </c>
      <c r="I802" s="30">
        <v>27901.25</v>
      </c>
    </row>
    <row r="803" spans="1:10" s="18" customFormat="1" ht="11.1" hidden="1" customHeight="1" outlineLevel="2" x14ac:dyDescent="0.2">
      <c r="A803" s="108" t="s">
        <v>690</v>
      </c>
      <c r="B803" s="108"/>
      <c r="C803" s="108"/>
      <c r="D803" s="108"/>
      <c r="E803" s="28" t="s">
        <v>147</v>
      </c>
      <c r="F803" s="29">
        <v>1</v>
      </c>
      <c r="G803" s="30">
        <v>127075</v>
      </c>
      <c r="H803" s="32">
        <v>25415</v>
      </c>
      <c r="I803" s="30">
        <v>152490</v>
      </c>
    </row>
    <row r="804" spans="1:10" ht="11.1" customHeight="1" collapsed="1" x14ac:dyDescent="0.2">
      <c r="A804" s="109" t="s">
        <v>691</v>
      </c>
      <c r="B804" s="109"/>
      <c r="C804" s="109"/>
      <c r="D804" s="109"/>
      <c r="E804" s="109"/>
      <c r="F804" s="22">
        <v>50</v>
      </c>
      <c r="G804" s="36">
        <v>8500</v>
      </c>
      <c r="H804" s="37">
        <v>1700</v>
      </c>
      <c r="I804" s="36">
        <v>10200</v>
      </c>
      <c r="J804" s="20" t="s">
        <v>1337</v>
      </c>
    </row>
    <row r="805" spans="1:10" s="18" customFormat="1" ht="11.1" hidden="1" customHeight="1" outlineLevel="1" x14ac:dyDescent="0.2">
      <c r="A805" s="107" t="s">
        <v>692</v>
      </c>
      <c r="B805" s="107"/>
      <c r="C805" s="107"/>
      <c r="D805" s="107"/>
      <c r="E805" s="107"/>
      <c r="F805" s="25">
        <v>50</v>
      </c>
      <c r="G805" s="34">
        <v>8500</v>
      </c>
      <c r="H805" s="35">
        <v>1700</v>
      </c>
      <c r="I805" s="34">
        <v>10200</v>
      </c>
    </row>
    <row r="806" spans="1:10" s="18" customFormat="1" ht="11.1" hidden="1" customHeight="1" outlineLevel="2" x14ac:dyDescent="0.2">
      <c r="A806" s="108" t="s">
        <v>693</v>
      </c>
      <c r="B806" s="108"/>
      <c r="C806" s="108"/>
      <c r="D806" s="108"/>
      <c r="E806" s="28" t="s">
        <v>147</v>
      </c>
      <c r="F806" s="29">
        <v>50</v>
      </c>
      <c r="G806" s="30">
        <v>8500</v>
      </c>
      <c r="H806" s="32">
        <v>1700</v>
      </c>
      <c r="I806" s="30">
        <v>10200</v>
      </c>
    </row>
    <row r="807" spans="1:10" ht="11.1" customHeight="1" collapsed="1" x14ac:dyDescent="0.2">
      <c r="A807" s="109" t="s">
        <v>694</v>
      </c>
      <c r="B807" s="109"/>
      <c r="C807" s="109"/>
      <c r="D807" s="109"/>
      <c r="E807" s="109"/>
      <c r="F807" s="47">
        <v>4014</v>
      </c>
      <c r="G807" s="23">
        <v>393508.99</v>
      </c>
      <c r="H807" s="24">
        <v>78701.88</v>
      </c>
      <c r="I807" s="23">
        <v>472210.87</v>
      </c>
      <c r="J807" s="20" t="s">
        <v>1335</v>
      </c>
    </row>
    <row r="808" spans="1:10" s="18" customFormat="1" ht="11.1" hidden="1" customHeight="1" outlineLevel="1" collapsed="1" x14ac:dyDescent="0.2">
      <c r="A808" s="107" t="s">
        <v>695</v>
      </c>
      <c r="B808" s="107"/>
      <c r="C808" s="107"/>
      <c r="D808" s="107"/>
      <c r="E808" s="107"/>
      <c r="F808" s="25">
        <v>60</v>
      </c>
      <c r="G808" s="34">
        <v>13440</v>
      </c>
      <c r="H808" s="35">
        <v>2688</v>
      </c>
      <c r="I808" s="34">
        <v>16128</v>
      </c>
    </row>
    <row r="809" spans="1:10" s="18" customFormat="1" ht="11.1" hidden="1" customHeight="1" outlineLevel="2" x14ac:dyDescent="0.2">
      <c r="A809" s="108" t="s">
        <v>696</v>
      </c>
      <c r="B809" s="108"/>
      <c r="C809" s="108"/>
      <c r="D809" s="108"/>
      <c r="E809" s="28" t="s">
        <v>147</v>
      </c>
      <c r="F809" s="29">
        <v>20</v>
      </c>
      <c r="G809" s="30">
        <v>8799</v>
      </c>
      <c r="H809" s="32">
        <v>1759.8</v>
      </c>
      <c r="I809" s="30">
        <v>10558.8</v>
      </c>
    </row>
    <row r="810" spans="1:10" s="18" customFormat="1" ht="11.1" hidden="1" customHeight="1" outlineLevel="2" collapsed="1" x14ac:dyDescent="0.2">
      <c r="A810" s="108" t="s">
        <v>697</v>
      </c>
      <c r="B810" s="108"/>
      <c r="C810" s="108"/>
      <c r="D810" s="108"/>
      <c r="E810" s="28" t="s">
        <v>147</v>
      </c>
      <c r="F810" s="29">
        <v>40</v>
      </c>
      <c r="G810" s="30">
        <v>4641</v>
      </c>
      <c r="H810" s="31">
        <v>928.2</v>
      </c>
      <c r="I810" s="30">
        <v>5569.2</v>
      </c>
    </row>
    <row r="811" spans="1:10" s="18" customFormat="1" ht="11.1" hidden="1" customHeight="1" outlineLevel="1" collapsed="1" x14ac:dyDescent="0.2">
      <c r="A811" s="107" t="s">
        <v>698</v>
      </c>
      <c r="B811" s="107"/>
      <c r="C811" s="107"/>
      <c r="D811" s="107"/>
      <c r="E811" s="107"/>
      <c r="F811" s="25">
        <v>103</v>
      </c>
      <c r="G811" s="39">
        <v>94793.4</v>
      </c>
      <c r="H811" s="27">
        <v>18958.68</v>
      </c>
      <c r="I811" s="26">
        <v>113752.08</v>
      </c>
    </row>
    <row r="812" spans="1:10" s="18" customFormat="1" ht="21.95" hidden="1" customHeight="1" outlineLevel="2" x14ac:dyDescent="0.2">
      <c r="A812" s="108" t="s">
        <v>699</v>
      </c>
      <c r="B812" s="108"/>
      <c r="C812" s="108"/>
      <c r="D812" s="108"/>
      <c r="E812" s="28" t="s">
        <v>147</v>
      </c>
      <c r="F812" s="29">
        <v>1</v>
      </c>
      <c r="G812" s="44">
        <v>894.87</v>
      </c>
      <c r="H812" s="31">
        <v>178.97</v>
      </c>
      <c r="I812" s="30">
        <v>1073.8399999999999</v>
      </c>
    </row>
    <row r="813" spans="1:10" s="18" customFormat="1" ht="11.1" hidden="1" customHeight="1" outlineLevel="2" x14ac:dyDescent="0.2">
      <c r="A813" s="108" t="s">
        <v>700</v>
      </c>
      <c r="B813" s="108"/>
      <c r="C813" s="108"/>
      <c r="D813" s="108"/>
      <c r="E813" s="28" t="s">
        <v>147</v>
      </c>
      <c r="F813" s="29">
        <v>2</v>
      </c>
      <c r="G813" s="30">
        <v>10791.03</v>
      </c>
      <c r="H813" s="32">
        <v>2158.21</v>
      </c>
      <c r="I813" s="30">
        <v>12949.24</v>
      </c>
    </row>
    <row r="814" spans="1:10" s="18" customFormat="1" ht="11.1" hidden="1" customHeight="1" outlineLevel="2" x14ac:dyDescent="0.2">
      <c r="A814" s="108" t="s">
        <v>701</v>
      </c>
      <c r="B814" s="108"/>
      <c r="C814" s="108"/>
      <c r="D814" s="108"/>
      <c r="E814" s="28" t="s">
        <v>147</v>
      </c>
      <c r="F814" s="29">
        <v>50</v>
      </c>
      <c r="G814" s="30">
        <v>42210</v>
      </c>
      <c r="H814" s="32">
        <v>8442</v>
      </c>
      <c r="I814" s="30">
        <v>50652</v>
      </c>
    </row>
    <row r="815" spans="1:10" s="18" customFormat="1" ht="11.1" hidden="1" customHeight="1" outlineLevel="2" collapsed="1" x14ac:dyDescent="0.2">
      <c r="A815" s="108" t="s">
        <v>702</v>
      </c>
      <c r="B815" s="108"/>
      <c r="C815" s="108"/>
      <c r="D815" s="108"/>
      <c r="E815" s="28" t="s">
        <v>147</v>
      </c>
      <c r="F815" s="29">
        <v>50</v>
      </c>
      <c r="G815" s="30">
        <v>40897.5</v>
      </c>
      <c r="H815" s="32">
        <v>8179.5</v>
      </c>
      <c r="I815" s="30">
        <v>49077</v>
      </c>
    </row>
    <row r="816" spans="1:10" s="18" customFormat="1" ht="11.1" hidden="1" customHeight="1" outlineLevel="1" collapsed="1" x14ac:dyDescent="0.2">
      <c r="A816" s="107" t="s">
        <v>703</v>
      </c>
      <c r="B816" s="107"/>
      <c r="C816" s="107"/>
      <c r="D816" s="107"/>
      <c r="E816" s="107"/>
      <c r="F816" s="53">
        <v>1000</v>
      </c>
      <c r="G816" s="26">
        <v>7166.67</v>
      </c>
      <c r="H816" s="27">
        <v>1433.33</v>
      </c>
      <c r="I816" s="34">
        <v>8600</v>
      </c>
    </row>
    <row r="817" spans="1:9" s="18" customFormat="1" ht="11.1" hidden="1" customHeight="1" outlineLevel="2" collapsed="1" x14ac:dyDescent="0.2">
      <c r="A817" s="108" t="s">
        <v>704</v>
      </c>
      <c r="B817" s="108"/>
      <c r="C817" s="108"/>
      <c r="D817" s="108"/>
      <c r="E817" s="28" t="s">
        <v>147</v>
      </c>
      <c r="F817" s="54">
        <v>1000</v>
      </c>
      <c r="G817" s="30">
        <v>7166.67</v>
      </c>
      <c r="H817" s="32">
        <v>1433.33</v>
      </c>
      <c r="I817" s="30">
        <v>8600</v>
      </c>
    </row>
    <row r="818" spans="1:9" s="18" customFormat="1" ht="11.1" hidden="1" customHeight="1" outlineLevel="1" collapsed="1" x14ac:dyDescent="0.2">
      <c r="A818" s="107" t="s">
        <v>705</v>
      </c>
      <c r="B818" s="107"/>
      <c r="C818" s="107"/>
      <c r="D818" s="107"/>
      <c r="E818" s="107"/>
      <c r="F818" s="25">
        <v>18</v>
      </c>
      <c r="G818" s="39">
        <v>7596.3</v>
      </c>
      <c r="H818" s="27">
        <v>1519.26</v>
      </c>
      <c r="I818" s="26">
        <v>9115.56</v>
      </c>
    </row>
    <row r="819" spans="1:9" s="18" customFormat="1" ht="11.1" hidden="1" customHeight="1" outlineLevel="2" collapsed="1" x14ac:dyDescent="0.2">
      <c r="A819" s="108" t="s">
        <v>706</v>
      </c>
      <c r="B819" s="108"/>
      <c r="C819" s="108"/>
      <c r="D819" s="108"/>
      <c r="E819" s="28" t="s">
        <v>147</v>
      </c>
      <c r="F819" s="29">
        <v>18</v>
      </c>
      <c r="G819" s="30">
        <v>7596.3</v>
      </c>
      <c r="H819" s="32">
        <v>1519.26</v>
      </c>
      <c r="I819" s="30">
        <v>9115.56</v>
      </c>
    </row>
    <row r="820" spans="1:9" s="18" customFormat="1" ht="11.1" hidden="1" customHeight="1" outlineLevel="1" collapsed="1" x14ac:dyDescent="0.2">
      <c r="A820" s="107" t="s">
        <v>707</v>
      </c>
      <c r="B820" s="107"/>
      <c r="C820" s="107"/>
      <c r="D820" s="107"/>
      <c r="E820" s="107"/>
      <c r="F820" s="25">
        <v>10</v>
      </c>
      <c r="G820" s="39">
        <v>4399.5</v>
      </c>
      <c r="H820" s="43">
        <v>879.9</v>
      </c>
      <c r="I820" s="39">
        <v>5279.4</v>
      </c>
    </row>
    <row r="821" spans="1:9" s="18" customFormat="1" ht="11.1" hidden="1" customHeight="1" outlineLevel="2" collapsed="1" x14ac:dyDescent="0.2">
      <c r="A821" s="108" t="s">
        <v>708</v>
      </c>
      <c r="B821" s="108"/>
      <c r="C821" s="108"/>
      <c r="D821" s="108"/>
      <c r="E821" s="28" t="s">
        <v>147</v>
      </c>
      <c r="F821" s="29">
        <v>10</v>
      </c>
      <c r="G821" s="30">
        <v>4399.5</v>
      </c>
      <c r="H821" s="31">
        <v>879.9</v>
      </c>
      <c r="I821" s="30">
        <v>5279.4</v>
      </c>
    </row>
    <row r="822" spans="1:9" s="18" customFormat="1" ht="11.1" hidden="1" customHeight="1" outlineLevel="1" collapsed="1" x14ac:dyDescent="0.2">
      <c r="A822" s="107" t="s">
        <v>709</v>
      </c>
      <c r="B822" s="107"/>
      <c r="C822" s="107"/>
      <c r="D822" s="107"/>
      <c r="E822" s="107"/>
      <c r="F822" s="25">
        <v>92</v>
      </c>
      <c r="G822" s="26">
        <v>26879.33</v>
      </c>
      <c r="H822" s="27">
        <v>5375.87</v>
      </c>
      <c r="I822" s="39">
        <v>32255.200000000001</v>
      </c>
    </row>
    <row r="823" spans="1:9" s="18" customFormat="1" ht="11.1" hidden="1" customHeight="1" outlineLevel="2" collapsed="1" x14ac:dyDescent="0.2">
      <c r="A823" s="108" t="s">
        <v>710</v>
      </c>
      <c r="B823" s="108"/>
      <c r="C823" s="108"/>
      <c r="D823" s="108"/>
      <c r="E823" s="28" t="s">
        <v>147</v>
      </c>
      <c r="F823" s="29">
        <v>92</v>
      </c>
      <c r="G823" s="30">
        <v>26879.33</v>
      </c>
      <c r="H823" s="32">
        <v>5375.87</v>
      </c>
      <c r="I823" s="30">
        <v>32255.200000000001</v>
      </c>
    </row>
    <row r="824" spans="1:9" s="18" customFormat="1" ht="11.1" hidden="1" customHeight="1" outlineLevel="1" collapsed="1" x14ac:dyDescent="0.2">
      <c r="A824" s="107" t="s">
        <v>711</v>
      </c>
      <c r="B824" s="107"/>
      <c r="C824" s="107"/>
      <c r="D824" s="107"/>
      <c r="E824" s="107"/>
      <c r="F824" s="25">
        <v>5</v>
      </c>
      <c r="G824" s="26">
        <v>23835.52</v>
      </c>
      <c r="H824" s="27">
        <v>4767.1099999999997</v>
      </c>
      <c r="I824" s="26">
        <v>28602.63</v>
      </c>
    </row>
    <row r="825" spans="1:9" s="18" customFormat="1" ht="21.95" hidden="1" customHeight="1" outlineLevel="2" x14ac:dyDescent="0.2">
      <c r="A825" s="108" t="s">
        <v>712</v>
      </c>
      <c r="B825" s="108"/>
      <c r="C825" s="108"/>
      <c r="D825" s="108"/>
      <c r="E825" s="28" t="s">
        <v>147</v>
      </c>
      <c r="F825" s="29">
        <v>1</v>
      </c>
      <c r="G825" s="30">
        <v>3205.12</v>
      </c>
      <c r="H825" s="31">
        <v>641.03</v>
      </c>
      <c r="I825" s="30">
        <v>3846.15</v>
      </c>
    </row>
    <row r="826" spans="1:9" s="18" customFormat="1" ht="21.95" hidden="1" customHeight="1" outlineLevel="2" collapsed="1" x14ac:dyDescent="0.2">
      <c r="A826" s="108" t="s">
        <v>713</v>
      </c>
      <c r="B826" s="108"/>
      <c r="C826" s="108"/>
      <c r="D826" s="108"/>
      <c r="E826" s="28" t="s">
        <v>147</v>
      </c>
      <c r="F826" s="29">
        <v>4</v>
      </c>
      <c r="G826" s="30">
        <v>20630.400000000001</v>
      </c>
      <c r="H826" s="32">
        <v>4126.08</v>
      </c>
      <c r="I826" s="30">
        <v>24756.48</v>
      </c>
    </row>
    <row r="827" spans="1:9" s="18" customFormat="1" ht="11.1" hidden="1" customHeight="1" outlineLevel="1" collapsed="1" x14ac:dyDescent="0.2">
      <c r="A827" s="107" t="s">
        <v>714</v>
      </c>
      <c r="B827" s="107"/>
      <c r="C827" s="107"/>
      <c r="D827" s="107"/>
      <c r="E827" s="107"/>
      <c r="F827" s="25">
        <v>5</v>
      </c>
      <c r="G827" s="26">
        <v>3644.37</v>
      </c>
      <c r="H827" s="45">
        <v>728.88</v>
      </c>
      <c r="I827" s="26">
        <v>4373.25</v>
      </c>
    </row>
    <row r="828" spans="1:9" s="18" customFormat="1" ht="11.1" hidden="1" customHeight="1" outlineLevel="2" collapsed="1" x14ac:dyDescent="0.2">
      <c r="A828" s="108" t="s">
        <v>715</v>
      </c>
      <c r="B828" s="108"/>
      <c r="C828" s="108"/>
      <c r="D828" s="108"/>
      <c r="E828" s="28" t="s">
        <v>147</v>
      </c>
      <c r="F828" s="29">
        <v>5</v>
      </c>
      <c r="G828" s="30">
        <v>3644.37</v>
      </c>
      <c r="H828" s="31">
        <v>728.88</v>
      </c>
      <c r="I828" s="30">
        <v>4373.25</v>
      </c>
    </row>
    <row r="829" spans="1:9" s="18" customFormat="1" ht="11.1" hidden="1" customHeight="1" outlineLevel="1" collapsed="1" x14ac:dyDescent="0.2">
      <c r="A829" s="107" t="s">
        <v>716</v>
      </c>
      <c r="B829" s="107"/>
      <c r="C829" s="107"/>
      <c r="D829" s="107"/>
      <c r="E829" s="107"/>
      <c r="F829" s="25">
        <v>10</v>
      </c>
      <c r="G829" s="39">
        <v>7045.5</v>
      </c>
      <c r="H829" s="40">
        <v>1409.1</v>
      </c>
      <c r="I829" s="39">
        <v>8454.6</v>
      </c>
    </row>
    <row r="830" spans="1:9" s="18" customFormat="1" ht="21.95" hidden="1" customHeight="1" outlineLevel="2" collapsed="1" x14ac:dyDescent="0.2">
      <c r="A830" s="108" t="s">
        <v>717</v>
      </c>
      <c r="B830" s="108"/>
      <c r="C830" s="108"/>
      <c r="D830" s="108"/>
      <c r="E830" s="28" t="s">
        <v>147</v>
      </c>
      <c r="F830" s="29">
        <v>10</v>
      </c>
      <c r="G830" s="30">
        <v>7045.5</v>
      </c>
      <c r="H830" s="32">
        <v>1409.1</v>
      </c>
      <c r="I830" s="30">
        <v>8454.6</v>
      </c>
    </row>
    <row r="831" spans="1:9" s="18" customFormat="1" ht="11.1" hidden="1" customHeight="1" outlineLevel="1" collapsed="1" x14ac:dyDescent="0.2">
      <c r="A831" s="107" t="s">
        <v>718</v>
      </c>
      <c r="B831" s="107"/>
      <c r="C831" s="107"/>
      <c r="D831" s="107"/>
      <c r="E831" s="107"/>
      <c r="F831" s="25">
        <v>3</v>
      </c>
      <c r="G831" s="26">
        <v>1732.16</v>
      </c>
      <c r="H831" s="45">
        <v>346.43</v>
      </c>
      <c r="I831" s="26">
        <v>2078.59</v>
      </c>
    </row>
    <row r="832" spans="1:9" s="18" customFormat="1" ht="21.95" hidden="1" customHeight="1" outlineLevel="2" x14ac:dyDescent="0.2">
      <c r="A832" s="108" t="s">
        <v>719</v>
      </c>
      <c r="B832" s="108"/>
      <c r="C832" s="108"/>
      <c r="D832" s="108"/>
      <c r="E832" s="28" t="s">
        <v>147</v>
      </c>
      <c r="F832" s="29">
        <v>1</v>
      </c>
      <c r="G832" s="44">
        <v>542.07000000000005</v>
      </c>
      <c r="H832" s="31">
        <v>108.41</v>
      </c>
      <c r="I832" s="44">
        <v>650.48</v>
      </c>
    </row>
    <row r="833" spans="1:9" s="18" customFormat="1" ht="11.1" hidden="1" customHeight="1" outlineLevel="2" x14ac:dyDescent="0.2">
      <c r="A833" s="108" t="s">
        <v>720</v>
      </c>
      <c r="B833" s="108"/>
      <c r="C833" s="108"/>
      <c r="D833" s="108"/>
      <c r="E833" s="28" t="s">
        <v>147</v>
      </c>
      <c r="F833" s="29">
        <v>1</v>
      </c>
      <c r="G833" s="44">
        <v>790.12</v>
      </c>
      <c r="H833" s="31">
        <v>158.03</v>
      </c>
      <c r="I833" s="44">
        <v>948.15</v>
      </c>
    </row>
    <row r="834" spans="1:9" s="18" customFormat="1" ht="11.1" hidden="1" customHeight="1" outlineLevel="2" collapsed="1" x14ac:dyDescent="0.2">
      <c r="A834" s="108" t="s">
        <v>721</v>
      </c>
      <c r="B834" s="108"/>
      <c r="C834" s="108"/>
      <c r="D834" s="108"/>
      <c r="E834" s="28" t="s">
        <v>147</v>
      </c>
      <c r="F834" s="29">
        <v>1</v>
      </c>
      <c r="G834" s="44">
        <v>399.97</v>
      </c>
      <c r="H834" s="31">
        <v>79.989999999999995</v>
      </c>
      <c r="I834" s="44">
        <v>479.96</v>
      </c>
    </row>
    <row r="835" spans="1:9" s="18" customFormat="1" ht="11.1" hidden="1" customHeight="1" outlineLevel="1" collapsed="1" x14ac:dyDescent="0.2">
      <c r="A835" s="107" t="s">
        <v>722</v>
      </c>
      <c r="B835" s="107"/>
      <c r="C835" s="107"/>
      <c r="D835" s="107"/>
      <c r="E835" s="107"/>
      <c r="F835" s="25">
        <v>5</v>
      </c>
      <c r="G835" s="26">
        <v>2722.58</v>
      </c>
      <c r="H835" s="45">
        <v>544.52</v>
      </c>
      <c r="I835" s="39">
        <v>3267.1</v>
      </c>
    </row>
    <row r="836" spans="1:9" s="18" customFormat="1" ht="11.1" hidden="1" customHeight="1" outlineLevel="2" x14ac:dyDescent="0.2">
      <c r="A836" s="108" t="s">
        <v>723</v>
      </c>
      <c r="B836" s="108"/>
      <c r="C836" s="108"/>
      <c r="D836" s="108"/>
      <c r="E836" s="28" t="s">
        <v>147</v>
      </c>
      <c r="F836" s="29">
        <v>2</v>
      </c>
      <c r="G836" s="30">
        <v>1089.03</v>
      </c>
      <c r="H836" s="31">
        <v>217.81</v>
      </c>
      <c r="I836" s="30">
        <v>1306.8399999999999</v>
      </c>
    </row>
    <row r="837" spans="1:9" s="18" customFormat="1" ht="11.1" hidden="1" customHeight="1" outlineLevel="2" collapsed="1" x14ac:dyDescent="0.2">
      <c r="A837" s="108" t="s">
        <v>723</v>
      </c>
      <c r="B837" s="108"/>
      <c r="C837" s="108"/>
      <c r="D837" s="108"/>
      <c r="E837" s="28" t="s">
        <v>147</v>
      </c>
      <c r="F837" s="29">
        <v>3</v>
      </c>
      <c r="G837" s="30">
        <v>1633.55</v>
      </c>
      <c r="H837" s="31">
        <v>326.70999999999998</v>
      </c>
      <c r="I837" s="30">
        <v>1960.26</v>
      </c>
    </row>
    <row r="838" spans="1:9" s="18" customFormat="1" ht="11.1" hidden="1" customHeight="1" outlineLevel="1" collapsed="1" x14ac:dyDescent="0.2">
      <c r="A838" s="107" t="s">
        <v>724</v>
      </c>
      <c r="B838" s="107"/>
      <c r="C838" s="107"/>
      <c r="D838" s="107"/>
      <c r="E838" s="107"/>
      <c r="F838" s="25">
        <v>11</v>
      </c>
      <c r="G838" s="26">
        <v>9352.31</v>
      </c>
      <c r="H838" s="27">
        <v>1870.45</v>
      </c>
      <c r="I838" s="26">
        <v>11222.76</v>
      </c>
    </row>
    <row r="839" spans="1:9" s="18" customFormat="1" ht="11.1" hidden="1" customHeight="1" outlineLevel="2" x14ac:dyDescent="0.2">
      <c r="A839" s="108" t="s">
        <v>725</v>
      </c>
      <c r="B839" s="108"/>
      <c r="C839" s="108"/>
      <c r="D839" s="108"/>
      <c r="E839" s="28" t="s">
        <v>147</v>
      </c>
      <c r="F839" s="29">
        <v>1</v>
      </c>
      <c r="G839" s="44">
        <v>542.07000000000005</v>
      </c>
      <c r="H839" s="31">
        <v>108.41</v>
      </c>
      <c r="I839" s="44">
        <v>650.48</v>
      </c>
    </row>
    <row r="840" spans="1:9" s="18" customFormat="1" ht="21.95" hidden="1" customHeight="1" outlineLevel="2" x14ac:dyDescent="0.2">
      <c r="A840" s="108" t="s">
        <v>726</v>
      </c>
      <c r="B840" s="108"/>
      <c r="C840" s="108"/>
      <c r="D840" s="108"/>
      <c r="E840" s="28" t="s">
        <v>147</v>
      </c>
      <c r="F840" s="29">
        <v>1</v>
      </c>
      <c r="G840" s="44">
        <v>542.07000000000005</v>
      </c>
      <c r="H840" s="31">
        <v>108.41</v>
      </c>
      <c r="I840" s="44">
        <v>650.48</v>
      </c>
    </row>
    <row r="841" spans="1:9" s="18" customFormat="1" ht="11.1" hidden="1" customHeight="1" outlineLevel="2" x14ac:dyDescent="0.2">
      <c r="A841" s="108" t="s">
        <v>727</v>
      </c>
      <c r="B841" s="108"/>
      <c r="C841" s="108"/>
      <c r="D841" s="108"/>
      <c r="E841" s="28" t="s">
        <v>147</v>
      </c>
      <c r="F841" s="29">
        <v>1</v>
      </c>
      <c r="G841" s="44">
        <v>882.62</v>
      </c>
      <c r="H841" s="31">
        <v>176.52</v>
      </c>
      <c r="I841" s="30">
        <v>1059.1400000000001</v>
      </c>
    </row>
    <row r="842" spans="1:9" s="18" customFormat="1" ht="21.95" hidden="1" customHeight="1" outlineLevel="2" x14ac:dyDescent="0.2">
      <c r="A842" s="108" t="s">
        <v>719</v>
      </c>
      <c r="B842" s="108"/>
      <c r="C842" s="108"/>
      <c r="D842" s="108"/>
      <c r="E842" s="28" t="s">
        <v>147</v>
      </c>
      <c r="F842" s="29">
        <v>1</v>
      </c>
      <c r="G842" s="44">
        <v>542.07000000000005</v>
      </c>
      <c r="H842" s="31">
        <v>108.41</v>
      </c>
      <c r="I842" s="44">
        <v>650.48</v>
      </c>
    </row>
    <row r="843" spans="1:9" s="18" customFormat="1" ht="11.1" hidden="1" customHeight="1" outlineLevel="2" x14ac:dyDescent="0.2">
      <c r="A843" s="108" t="s">
        <v>728</v>
      </c>
      <c r="B843" s="108"/>
      <c r="C843" s="108"/>
      <c r="D843" s="108"/>
      <c r="E843" s="28" t="s">
        <v>147</v>
      </c>
      <c r="F843" s="29">
        <v>1</v>
      </c>
      <c r="G843" s="30">
        <v>1158.24</v>
      </c>
      <c r="H843" s="31">
        <v>231.65</v>
      </c>
      <c r="I843" s="30">
        <v>1389.89</v>
      </c>
    </row>
    <row r="844" spans="1:9" s="18" customFormat="1" ht="11.1" hidden="1" customHeight="1" outlineLevel="2" x14ac:dyDescent="0.2">
      <c r="A844" s="108" t="s">
        <v>729</v>
      </c>
      <c r="B844" s="108"/>
      <c r="C844" s="108"/>
      <c r="D844" s="108"/>
      <c r="E844" s="28" t="s">
        <v>147</v>
      </c>
      <c r="F844" s="29">
        <v>1</v>
      </c>
      <c r="G844" s="30">
        <v>1158.24</v>
      </c>
      <c r="H844" s="31">
        <v>231.65</v>
      </c>
      <c r="I844" s="30">
        <v>1389.89</v>
      </c>
    </row>
    <row r="845" spans="1:9" s="18" customFormat="1" ht="11.1" hidden="1" customHeight="1" outlineLevel="2" x14ac:dyDescent="0.2">
      <c r="A845" s="108" t="s">
        <v>730</v>
      </c>
      <c r="B845" s="108"/>
      <c r="C845" s="108"/>
      <c r="D845" s="108"/>
      <c r="E845" s="28" t="s">
        <v>147</v>
      </c>
      <c r="F845" s="29">
        <v>1</v>
      </c>
      <c r="G845" s="30">
        <v>1212.75</v>
      </c>
      <c r="H845" s="31">
        <v>242.55</v>
      </c>
      <c r="I845" s="30">
        <v>1455.3</v>
      </c>
    </row>
    <row r="846" spans="1:9" s="18" customFormat="1" ht="11.1" hidden="1" customHeight="1" outlineLevel="2" x14ac:dyDescent="0.2">
      <c r="A846" s="108" t="s">
        <v>731</v>
      </c>
      <c r="B846" s="108"/>
      <c r="C846" s="108"/>
      <c r="D846" s="108"/>
      <c r="E846" s="28" t="s">
        <v>147</v>
      </c>
      <c r="F846" s="29">
        <v>1</v>
      </c>
      <c r="G846" s="30">
        <v>1212.75</v>
      </c>
      <c r="H846" s="31">
        <v>242.55</v>
      </c>
      <c r="I846" s="30">
        <v>1455.3</v>
      </c>
    </row>
    <row r="847" spans="1:9" s="18" customFormat="1" ht="11.1" hidden="1" customHeight="1" outlineLevel="2" x14ac:dyDescent="0.2">
      <c r="A847" s="108" t="s">
        <v>732</v>
      </c>
      <c r="B847" s="108"/>
      <c r="C847" s="108"/>
      <c r="D847" s="108"/>
      <c r="E847" s="28" t="s">
        <v>147</v>
      </c>
      <c r="F847" s="29">
        <v>1</v>
      </c>
      <c r="G847" s="44">
        <v>609.44000000000005</v>
      </c>
      <c r="H847" s="31">
        <v>121.89</v>
      </c>
      <c r="I847" s="44">
        <v>731.33</v>
      </c>
    </row>
    <row r="848" spans="1:9" s="18" customFormat="1" ht="11.1" hidden="1" customHeight="1" outlineLevel="2" x14ac:dyDescent="0.2">
      <c r="A848" s="108" t="s">
        <v>733</v>
      </c>
      <c r="B848" s="108"/>
      <c r="C848" s="108"/>
      <c r="D848" s="108"/>
      <c r="E848" s="28" t="s">
        <v>147</v>
      </c>
      <c r="F848" s="29">
        <v>1</v>
      </c>
      <c r="G848" s="44">
        <v>609.44000000000005</v>
      </c>
      <c r="H848" s="31">
        <v>121.89</v>
      </c>
      <c r="I848" s="44">
        <v>731.33</v>
      </c>
    </row>
    <row r="849" spans="1:9" s="18" customFormat="1" ht="11.1" hidden="1" customHeight="1" outlineLevel="2" collapsed="1" x14ac:dyDescent="0.2">
      <c r="A849" s="108" t="s">
        <v>734</v>
      </c>
      <c r="B849" s="108"/>
      <c r="C849" s="108"/>
      <c r="D849" s="108"/>
      <c r="E849" s="28" t="s">
        <v>147</v>
      </c>
      <c r="F849" s="29">
        <v>1</v>
      </c>
      <c r="G849" s="44">
        <v>882.62</v>
      </c>
      <c r="H849" s="31">
        <v>176.52</v>
      </c>
      <c r="I849" s="30">
        <v>1059.1400000000001</v>
      </c>
    </row>
    <row r="850" spans="1:9" s="18" customFormat="1" ht="11.1" hidden="1" customHeight="1" outlineLevel="1" collapsed="1" x14ac:dyDescent="0.2">
      <c r="A850" s="107" t="s">
        <v>735</v>
      </c>
      <c r="B850" s="107"/>
      <c r="C850" s="107"/>
      <c r="D850" s="107"/>
      <c r="E850" s="107"/>
      <c r="F850" s="25">
        <v>6</v>
      </c>
      <c r="G850" s="26">
        <v>3858.76</v>
      </c>
      <c r="H850" s="45">
        <v>771.76</v>
      </c>
      <c r="I850" s="26">
        <v>4630.5200000000004</v>
      </c>
    </row>
    <row r="851" spans="1:9" s="18" customFormat="1" ht="11.1" hidden="1" customHeight="1" outlineLevel="2" x14ac:dyDescent="0.2">
      <c r="A851" s="108" t="s">
        <v>736</v>
      </c>
      <c r="B851" s="108"/>
      <c r="C851" s="108"/>
      <c r="D851" s="108"/>
      <c r="E851" s="28" t="s">
        <v>147</v>
      </c>
      <c r="F851" s="29">
        <v>2</v>
      </c>
      <c r="G851" s="30">
        <v>1084.1300000000001</v>
      </c>
      <c r="H851" s="31">
        <v>216.83</v>
      </c>
      <c r="I851" s="30">
        <v>1300.96</v>
      </c>
    </row>
    <row r="852" spans="1:9" s="18" customFormat="1" ht="11.1" hidden="1" customHeight="1" outlineLevel="2" x14ac:dyDescent="0.2">
      <c r="A852" s="108" t="s">
        <v>737</v>
      </c>
      <c r="B852" s="108"/>
      <c r="C852" s="108"/>
      <c r="D852" s="108"/>
      <c r="E852" s="28" t="s">
        <v>147</v>
      </c>
      <c r="F852" s="29">
        <v>2</v>
      </c>
      <c r="G852" s="30">
        <v>1974.7</v>
      </c>
      <c r="H852" s="31">
        <v>394.94</v>
      </c>
      <c r="I852" s="30">
        <v>2369.64</v>
      </c>
    </row>
    <row r="853" spans="1:9" s="18" customFormat="1" ht="11.1" hidden="1" customHeight="1" outlineLevel="2" collapsed="1" x14ac:dyDescent="0.2">
      <c r="A853" s="108" t="s">
        <v>738</v>
      </c>
      <c r="B853" s="108"/>
      <c r="C853" s="108"/>
      <c r="D853" s="108"/>
      <c r="E853" s="28" t="s">
        <v>147</v>
      </c>
      <c r="F853" s="29">
        <v>2</v>
      </c>
      <c r="G853" s="44">
        <v>799.93</v>
      </c>
      <c r="H853" s="31">
        <v>159.99</v>
      </c>
      <c r="I853" s="44">
        <v>959.92</v>
      </c>
    </row>
    <row r="854" spans="1:9" s="18" customFormat="1" ht="11.1" hidden="1" customHeight="1" outlineLevel="1" collapsed="1" x14ac:dyDescent="0.2">
      <c r="A854" s="107" t="s">
        <v>739</v>
      </c>
      <c r="B854" s="107"/>
      <c r="C854" s="107"/>
      <c r="D854" s="107"/>
      <c r="E854" s="107"/>
      <c r="F854" s="25">
        <v>20</v>
      </c>
      <c r="G854" s="39">
        <v>18532.5</v>
      </c>
      <c r="H854" s="40">
        <v>3706.5</v>
      </c>
      <c r="I854" s="34">
        <v>22239</v>
      </c>
    </row>
    <row r="855" spans="1:9" s="18" customFormat="1" ht="21.95" hidden="1" customHeight="1" outlineLevel="2" collapsed="1" x14ac:dyDescent="0.2">
      <c r="A855" s="108" t="s">
        <v>740</v>
      </c>
      <c r="B855" s="108"/>
      <c r="C855" s="108"/>
      <c r="D855" s="108"/>
      <c r="E855" s="28" t="s">
        <v>147</v>
      </c>
      <c r="F855" s="29">
        <v>20</v>
      </c>
      <c r="G855" s="30">
        <v>18532.5</v>
      </c>
      <c r="H855" s="32">
        <v>3706.5</v>
      </c>
      <c r="I855" s="30">
        <v>22239</v>
      </c>
    </row>
    <row r="856" spans="1:9" s="18" customFormat="1" ht="11.1" hidden="1" customHeight="1" outlineLevel="1" collapsed="1" x14ac:dyDescent="0.2">
      <c r="A856" s="107" t="s">
        <v>741</v>
      </c>
      <c r="B856" s="107"/>
      <c r="C856" s="107"/>
      <c r="D856" s="107"/>
      <c r="E856" s="107"/>
      <c r="F856" s="25">
        <v>2</v>
      </c>
      <c r="G856" s="26">
        <v>1853.25</v>
      </c>
      <c r="H856" s="45">
        <v>370.65</v>
      </c>
      <c r="I856" s="39">
        <v>2223.9</v>
      </c>
    </row>
    <row r="857" spans="1:9" s="18" customFormat="1" ht="21.95" hidden="1" customHeight="1" outlineLevel="2" collapsed="1" x14ac:dyDescent="0.2">
      <c r="A857" s="108" t="s">
        <v>740</v>
      </c>
      <c r="B857" s="108"/>
      <c r="C857" s="108"/>
      <c r="D857" s="108"/>
      <c r="E857" s="28" t="s">
        <v>147</v>
      </c>
      <c r="F857" s="29">
        <v>2</v>
      </c>
      <c r="G857" s="30">
        <v>1853.25</v>
      </c>
      <c r="H857" s="31">
        <v>370.65</v>
      </c>
      <c r="I857" s="30">
        <v>2223.9</v>
      </c>
    </row>
    <row r="858" spans="1:9" s="18" customFormat="1" ht="11.1" hidden="1" customHeight="1" outlineLevel="1" collapsed="1" x14ac:dyDescent="0.2">
      <c r="A858" s="107" t="s">
        <v>742</v>
      </c>
      <c r="B858" s="107"/>
      <c r="C858" s="107"/>
      <c r="D858" s="107"/>
      <c r="E858" s="107"/>
      <c r="F858" s="25">
        <v>8</v>
      </c>
      <c r="G858" s="26">
        <v>7194.42</v>
      </c>
      <c r="H858" s="40">
        <v>1438.9</v>
      </c>
      <c r="I858" s="26">
        <v>8633.32</v>
      </c>
    </row>
    <row r="859" spans="1:9" s="18" customFormat="1" ht="11.1" hidden="1" customHeight="1" outlineLevel="2" x14ac:dyDescent="0.2">
      <c r="A859" s="108" t="s">
        <v>715</v>
      </c>
      <c r="B859" s="108"/>
      <c r="C859" s="108"/>
      <c r="D859" s="108"/>
      <c r="E859" s="28" t="s">
        <v>147</v>
      </c>
      <c r="F859" s="29">
        <v>3</v>
      </c>
      <c r="G859" s="30">
        <v>2186.62</v>
      </c>
      <c r="H859" s="31">
        <v>437.33</v>
      </c>
      <c r="I859" s="30">
        <v>2623.95</v>
      </c>
    </row>
    <row r="860" spans="1:9" s="18" customFormat="1" ht="21.95" hidden="1" customHeight="1" outlineLevel="2" x14ac:dyDescent="0.2">
      <c r="A860" s="108" t="s">
        <v>743</v>
      </c>
      <c r="B860" s="108"/>
      <c r="C860" s="108"/>
      <c r="D860" s="108"/>
      <c r="E860" s="28" t="s">
        <v>147</v>
      </c>
      <c r="F860" s="29">
        <v>2</v>
      </c>
      <c r="G860" s="30">
        <v>1864.45</v>
      </c>
      <c r="H860" s="31">
        <v>372.89</v>
      </c>
      <c r="I860" s="30">
        <v>2237.34</v>
      </c>
    </row>
    <row r="861" spans="1:9" s="18" customFormat="1" ht="21.95" hidden="1" customHeight="1" outlineLevel="2" x14ac:dyDescent="0.2">
      <c r="A861" s="108" t="s">
        <v>744</v>
      </c>
      <c r="B861" s="108"/>
      <c r="C861" s="108"/>
      <c r="D861" s="108"/>
      <c r="E861" s="28" t="s">
        <v>147</v>
      </c>
      <c r="F861" s="29">
        <v>1</v>
      </c>
      <c r="G861" s="44">
        <v>826.87</v>
      </c>
      <c r="H861" s="31">
        <v>165.38</v>
      </c>
      <c r="I861" s="44">
        <v>992.25</v>
      </c>
    </row>
    <row r="862" spans="1:9" s="18" customFormat="1" ht="11.1" hidden="1" customHeight="1" outlineLevel="2" collapsed="1" x14ac:dyDescent="0.2">
      <c r="A862" s="108" t="s">
        <v>728</v>
      </c>
      <c r="B862" s="108"/>
      <c r="C862" s="108"/>
      <c r="D862" s="108"/>
      <c r="E862" s="28" t="s">
        <v>147</v>
      </c>
      <c r="F862" s="29">
        <v>2</v>
      </c>
      <c r="G862" s="30">
        <v>2316.48</v>
      </c>
      <c r="H862" s="31">
        <v>463.3</v>
      </c>
      <c r="I862" s="30">
        <v>2779.78</v>
      </c>
    </row>
    <row r="863" spans="1:9" s="18" customFormat="1" ht="11.1" hidden="1" customHeight="1" outlineLevel="1" collapsed="1" x14ac:dyDescent="0.2">
      <c r="A863" s="107" t="s">
        <v>745</v>
      </c>
      <c r="B863" s="107"/>
      <c r="C863" s="107"/>
      <c r="D863" s="107"/>
      <c r="E863" s="107"/>
      <c r="F863" s="53">
        <v>1010</v>
      </c>
      <c r="G863" s="26">
        <v>11785.84</v>
      </c>
      <c r="H863" s="27">
        <v>2357.16</v>
      </c>
      <c r="I863" s="34">
        <v>14143</v>
      </c>
    </row>
    <row r="864" spans="1:9" s="18" customFormat="1" ht="11.1" hidden="1" customHeight="1" outlineLevel="2" x14ac:dyDescent="0.2">
      <c r="A864" s="108" t="s">
        <v>746</v>
      </c>
      <c r="B864" s="108"/>
      <c r="C864" s="108"/>
      <c r="D864" s="108"/>
      <c r="E864" s="28" t="s">
        <v>147</v>
      </c>
      <c r="F864" s="29">
        <v>1</v>
      </c>
      <c r="G864" s="44">
        <v>304.42</v>
      </c>
      <c r="H864" s="31">
        <v>60.88</v>
      </c>
      <c r="I864" s="44">
        <v>365.3</v>
      </c>
    </row>
    <row r="865" spans="1:9" s="18" customFormat="1" ht="11.1" hidden="1" customHeight="1" outlineLevel="2" x14ac:dyDescent="0.2">
      <c r="A865" s="108" t="s">
        <v>746</v>
      </c>
      <c r="B865" s="108"/>
      <c r="C865" s="108"/>
      <c r="D865" s="108"/>
      <c r="E865" s="28" t="s">
        <v>147</v>
      </c>
      <c r="F865" s="29">
        <v>9</v>
      </c>
      <c r="G865" s="30">
        <v>2739.75</v>
      </c>
      <c r="H865" s="31">
        <v>547.95000000000005</v>
      </c>
      <c r="I865" s="30">
        <v>3287.7</v>
      </c>
    </row>
    <row r="866" spans="1:9" s="18" customFormat="1" ht="11.1" hidden="1" customHeight="1" outlineLevel="2" collapsed="1" x14ac:dyDescent="0.2">
      <c r="A866" s="108" t="s">
        <v>747</v>
      </c>
      <c r="B866" s="108"/>
      <c r="C866" s="108"/>
      <c r="D866" s="108"/>
      <c r="E866" s="28" t="s">
        <v>147</v>
      </c>
      <c r="F866" s="54">
        <v>1000</v>
      </c>
      <c r="G866" s="30">
        <v>8741.67</v>
      </c>
      <c r="H866" s="32">
        <v>1748.33</v>
      </c>
      <c r="I866" s="30">
        <v>10490</v>
      </c>
    </row>
    <row r="867" spans="1:9" s="18" customFormat="1" ht="11.1" hidden="1" customHeight="1" outlineLevel="1" collapsed="1" x14ac:dyDescent="0.2">
      <c r="A867" s="107" t="s">
        <v>748</v>
      </c>
      <c r="B867" s="107"/>
      <c r="C867" s="107"/>
      <c r="D867" s="107"/>
      <c r="E867" s="107"/>
      <c r="F867" s="53">
        <v>1512</v>
      </c>
      <c r="G867" s="26">
        <v>21617.27</v>
      </c>
      <c r="H867" s="27">
        <v>4323.45</v>
      </c>
      <c r="I867" s="26">
        <v>25940.720000000001</v>
      </c>
    </row>
    <row r="868" spans="1:9" s="18" customFormat="1" ht="11.1" hidden="1" customHeight="1" outlineLevel="2" x14ac:dyDescent="0.2">
      <c r="A868" s="108" t="s">
        <v>749</v>
      </c>
      <c r="B868" s="108"/>
      <c r="C868" s="108"/>
      <c r="D868" s="108"/>
      <c r="E868" s="28" t="s">
        <v>147</v>
      </c>
      <c r="F868" s="54">
        <v>1000</v>
      </c>
      <c r="G868" s="30">
        <v>6708.33</v>
      </c>
      <c r="H868" s="32">
        <v>1341.67</v>
      </c>
      <c r="I868" s="30">
        <v>8050</v>
      </c>
    </row>
    <row r="869" spans="1:9" s="18" customFormat="1" ht="11.1" hidden="1" customHeight="1" outlineLevel="2" x14ac:dyDescent="0.2">
      <c r="A869" s="108" t="s">
        <v>750</v>
      </c>
      <c r="B869" s="108"/>
      <c r="C869" s="108"/>
      <c r="D869" s="108"/>
      <c r="E869" s="28" t="s">
        <v>147</v>
      </c>
      <c r="F869" s="29">
        <v>1</v>
      </c>
      <c r="G869" s="30">
        <v>3807.92</v>
      </c>
      <c r="H869" s="31">
        <v>761.58</v>
      </c>
      <c r="I869" s="30">
        <v>4569.5</v>
      </c>
    </row>
    <row r="870" spans="1:9" s="18" customFormat="1" ht="11.1" hidden="1" customHeight="1" outlineLevel="2" x14ac:dyDescent="0.2">
      <c r="A870" s="108" t="s">
        <v>751</v>
      </c>
      <c r="B870" s="108"/>
      <c r="C870" s="108"/>
      <c r="D870" s="108"/>
      <c r="E870" s="28" t="s">
        <v>147</v>
      </c>
      <c r="F870" s="29">
        <v>500</v>
      </c>
      <c r="G870" s="30">
        <v>4370.83</v>
      </c>
      <c r="H870" s="31">
        <v>874.17</v>
      </c>
      <c r="I870" s="30">
        <v>5245</v>
      </c>
    </row>
    <row r="871" spans="1:9" s="18" customFormat="1" ht="11.1" hidden="1" customHeight="1" outlineLevel="2" x14ac:dyDescent="0.2">
      <c r="A871" s="108" t="s">
        <v>721</v>
      </c>
      <c r="B871" s="108"/>
      <c r="C871" s="108"/>
      <c r="D871" s="108"/>
      <c r="E871" s="28" t="s">
        <v>147</v>
      </c>
      <c r="F871" s="29">
        <v>2</v>
      </c>
      <c r="G871" s="44">
        <v>799.93</v>
      </c>
      <c r="H871" s="31">
        <v>159.99</v>
      </c>
      <c r="I871" s="44">
        <v>959.92</v>
      </c>
    </row>
    <row r="872" spans="1:9" s="18" customFormat="1" ht="11.1" hidden="1" customHeight="1" outlineLevel="2" x14ac:dyDescent="0.2">
      <c r="A872" s="108" t="s">
        <v>752</v>
      </c>
      <c r="B872" s="108"/>
      <c r="C872" s="108"/>
      <c r="D872" s="108"/>
      <c r="E872" s="28" t="s">
        <v>147</v>
      </c>
      <c r="F872" s="29">
        <v>1</v>
      </c>
      <c r="G872" s="44">
        <v>987.35</v>
      </c>
      <c r="H872" s="31">
        <v>197.47</v>
      </c>
      <c r="I872" s="30">
        <v>1184.82</v>
      </c>
    </row>
    <row r="873" spans="1:9" s="18" customFormat="1" ht="11.1" hidden="1" customHeight="1" outlineLevel="2" x14ac:dyDescent="0.2">
      <c r="A873" s="108" t="s">
        <v>736</v>
      </c>
      <c r="B873" s="108"/>
      <c r="C873" s="108"/>
      <c r="D873" s="108"/>
      <c r="E873" s="28" t="s">
        <v>147</v>
      </c>
      <c r="F873" s="29">
        <v>1</v>
      </c>
      <c r="G873" s="44">
        <v>542.07000000000005</v>
      </c>
      <c r="H873" s="31">
        <v>108.41</v>
      </c>
      <c r="I873" s="44">
        <v>650.48</v>
      </c>
    </row>
    <row r="874" spans="1:9" s="18" customFormat="1" ht="11.1" hidden="1" customHeight="1" outlineLevel="2" x14ac:dyDescent="0.2">
      <c r="A874" s="108" t="s">
        <v>725</v>
      </c>
      <c r="B874" s="108"/>
      <c r="C874" s="108"/>
      <c r="D874" s="108"/>
      <c r="E874" s="28" t="s">
        <v>147</v>
      </c>
      <c r="F874" s="29">
        <v>1</v>
      </c>
      <c r="G874" s="44">
        <v>542.07000000000005</v>
      </c>
      <c r="H874" s="31">
        <v>108.41</v>
      </c>
      <c r="I874" s="44">
        <v>650.48</v>
      </c>
    </row>
    <row r="875" spans="1:9" s="18" customFormat="1" ht="11.1" hidden="1" customHeight="1" outlineLevel="2" x14ac:dyDescent="0.2">
      <c r="A875" s="108" t="s">
        <v>753</v>
      </c>
      <c r="B875" s="108"/>
      <c r="C875" s="108"/>
      <c r="D875" s="108"/>
      <c r="E875" s="28" t="s">
        <v>147</v>
      </c>
      <c r="F875" s="29">
        <v>1</v>
      </c>
      <c r="G875" s="44">
        <v>399.97</v>
      </c>
      <c r="H875" s="31">
        <v>79.989999999999995</v>
      </c>
      <c r="I875" s="44">
        <v>479.96</v>
      </c>
    </row>
    <row r="876" spans="1:9" s="18" customFormat="1" ht="11.1" hidden="1" customHeight="1" outlineLevel="2" x14ac:dyDescent="0.2">
      <c r="A876" s="108" t="s">
        <v>737</v>
      </c>
      <c r="B876" s="108"/>
      <c r="C876" s="108"/>
      <c r="D876" s="108"/>
      <c r="E876" s="28" t="s">
        <v>147</v>
      </c>
      <c r="F876" s="29">
        <v>1</v>
      </c>
      <c r="G876" s="44">
        <v>987.35</v>
      </c>
      <c r="H876" s="31">
        <v>197.47</v>
      </c>
      <c r="I876" s="30">
        <v>1184.82</v>
      </c>
    </row>
    <row r="877" spans="1:9" s="18" customFormat="1" ht="11.1" hidden="1" customHeight="1" outlineLevel="2" x14ac:dyDescent="0.2">
      <c r="A877" s="108" t="s">
        <v>738</v>
      </c>
      <c r="B877" s="108"/>
      <c r="C877" s="108"/>
      <c r="D877" s="108"/>
      <c r="E877" s="28" t="s">
        <v>147</v>
      </c>
      <c r="F877" s="29">
        <v>1</v>
      </c>
      <c r="G877" s="44">
        <v>399.97</v>
      </c>
      <c r="H877" s="31">
        <v>79.989999999999995</v>
      </c>
      <c r="I877" s="44">
        <v>479.96</v>
      </c>
    </row>
    <row r="878" spans="1:9" s="18" customFormat="1" ht="21.95" hidden="1" customHeight="1" outlineLevel="2" x14ac:dyDescent="0.2">
      <c r="A878" s="108" t="s">
        <v>719</v>
      </c>
      <c r="B878" s="108"/>
      <c r="C878" s="108"/>
      <c r="D878" s="108"/>
      <c r="E878" s="28" t="s">
        <v>147</v>
      </c>
      <c r="F878" s="29">
        <v>2</v>
      </c>
      <c r="G878" s="30">
        <v>1084.1300000000001</v>
      </c>
      <c r="H878" s="31">
        <v>216.83</v>
      </c>
      <c r="I878" s="30">
        <v>1300.96</v>
      </c>
    </row>
    <row r="879" spans="1:9" s="18" customFormat="1" ht="11.1" hidden="1" customHeight="1" outlineLevel="2" collapsed="1" x14ac:dyDescent="0.2">
      <c r="A879" s="108" t="s">
        <v>754</v>
      </c>
      <c r="B879" s="108"/>
      <c r="C879" s="108"/>
      <c r="D879" s="108"/>
      <c r="E879" s="28" t="s">
        <v>147</v>
      </c>
      <c r="F879" s="29">
        <v>1</v>
      </c>
      <c r="G879" s="44">
        <v>987.35</v>
      </c>
      <c r="H879" s="31">
        <v>197.47</v>
      </c>
      <c r="I879" s="30">
        <v>1184.82</v>
      </c>
    </row>
    <row r="880" spans="1:9" s="18" customFormat="1" ht="11.1" hidden="1" customHeight="1" outlineLevel="1" collapsed="1" x14ac:dyDescent="0.2">
      <c r="A880" s="107" t="s">
        <v>755</v>
      </c>
      <c r="B880" s="107"/>
      <c r="C880" s="107"/>
      <c r="D880" s="107"/>
      <c r="E880" s="107"/>
      <c r="F880" s="25">
        <v>8</v>
      </c>
      <c r="G880" s="26">
        <v>37355.85</v>
      </c>
      <c r="H880" s="27">
        <v>7471.17</v>
      </c>
      <c r="I880" s="26">
        <v>44827.02</v>
      </c>
    </row>
    <row r="881" spans="1:9" s="18" customFormat="1" ht="11.1" hidden="1" customHeight="1" outlineLevel="2" x14ac:dyDescent="0.2">
      <c r="A881" s="108" t="s">
        <v>756</v>
      </c>
      <c r="B881" s="108"/>
      <c r="C881" s="108"/>
      <c r="D881" s="108"/>
      <c r="E881" s="28" t="s">
        <v>147</v>
      </c>
      <c r="F881" s="29">
        <v>2</v>
      </c>
      <c r="G881" s="30">
        <v>6410.25</v>
      </c>
      <c r="H881" s="32">
        <v>1282.05</v>
      </c>
      <c r="I881" s="30">
        <v>7692.3</v>
      </c>
    </row>
    <row r="882" spans="1:9" s="18" customFormat="1" ht="11.1" hidden="1" customHeight="1" outlineLevel="2" collapsed="1" x14ac:dyDescent="0.2">
      <c r="A882" s="108" t="s">
        <v>757</v>
      </c>
      <c r="B882" s="108"/>
      <c r="C882" s="108"/>
      <c r="D882" s="108"/>
      <c r="E882" s="28" t="s">
        <v>147</v>
      </c>
      <c r="F882" s="29">
        <v>6</v>
      </c>
      <c r="G882" s="30">
        <v>30945.599999999999</v>
      </c>
      <c r="H882" s="32">
        <v>6189.12</v>
      </c>
      <c r="I882" s="30">
        <v>37134.720000000001</v>
      </c>
    </row>
    <row r="883" spans="1:9" s="18" customFormat="1" ht="11.1" hidden="1" customHeight="1" outlineLevel="1" collapsed="1" x14ac:dyDescent="0.2">
      <c r="A883" s="107" t="s">
        <v>758</v>
      </c>
      <c r="B883" s="107"/>
      <c r="C883" s="107"/>
      <c r="D883" s="107"/>
      <c r="E883" s="107"/>
      <c r="F883" s="25">
        <v>45</v>
      </c>
      <c r="G883" s="26">
        <v>28020.33</v>
      </c>
      <c r="H883" s="27">
        <v>5604.06</v>
      </c>
      <c r="I883" s="26">
        <v>33624.39</v>
      </c>
    </row>
    <row r="884" spans="1:9" s="18" customFormat="1" ht="21.95" hidden="1" customHeight="1" outlineLevel="2" x14ac:dyDescent="0.2">
      <c r="A884" s="108" t="s">
        <v>759</v>
      </c>
      <c r="B884" s="108"/>
      <c r="C884" s="108"/>
      <c r="D884" s="108"/>
      <c r="E884" s="28" t="s">
        <v>147</v>
      </c>
      <c r="F884" s="29">
        <v>4</v>
      </c>
      <c r="G884" s="30">
        <v>6759.9</v>
      </c>
      <c r="H884" s="32">
        <v>1351.98</v>
      </c>
      <c r="I884" s="30">
        <v>8111.88</v>
      </c>
    </row>
    <row r="885" spans="1:9" s="18" customFormat="1" ht="11.1" hidden="1" customHeight="1" outlineLevel="2" x14ac:dyDescent="0.2">
      <c r="A885" s="108" t="s">
        <v>760</v>
      </c>
      <c r="B885" s="108"/>
      <c r="C885" s="108"/>
      <c r="D885" s="108"/>
      <c r="E885" s="28" t="s">
        <v>147</v>
      </c>
      <c r="F885" s="29">
        <v>1</v>
      </c>
      <c r="G885" s="44">
        <v>360.15</v>
      </c>
      <c r="H885" s="31">
        <v>72.03</v>
      </c>
      <c r="I885" s="44">
        <v>432.18</v>
      </c>
    </row>
    <row r="886" spans="1:9" s="18" customFormat="1" ht="11.1" hidden="1" customHeight="1" outlineLevel="2" x14ac:dyDescent="0.2">
      <c r="A886" s="108" t="s">
        <v>761</v>
      </c>
      <c r="B886" s="108"/>
      <c r="C886" s="108"/>
      <c r="D886" s="108"/>
      <c r="E886" s="28" t="s">
        <v>147</v>
      </c>
      <c r="F886" s="29">
        <v>1</v>
      </c>
      <c r="G886" s="44">
        <v>422.02</v>
      </c>
      <c r="H886" s="31">
        <v>84.4</v>
      </c>
      <c r="I886" s="44">
        <v>506.42</v>
      </c>
    </row>
    <row r="887" spans="1:9" s="18" customFormat="1" ht="11.1" hidden="1" customHeight="1" outlineLevel="2" x14ac:dyDescent="0.2">
      <c r="A887" s="108" t="s">
        <v>762</v>
      </c>
      <c r="B887" s="108"/>
      <c r="C887" s="108"/>
      <c r="D887" s="108"/>
      <c r="E887" s="28" t="s">
        <v>147</v>
      </c>
      <c r="F887" s="29">
        <v>1</v>
      </c>
      <c r="G887" s="44">
        <v>155.57</v>
      </c>
      <c r="H887" s="31">
        <v>31.12</v>
      </c>
      <c r="I887" s="44">
        <v>186.69</v>
      </c>
    </row>
    <row r="888" spans="1:9" s="18" customFormat="1" ht="11.1" hidden="1" customHeight="1" outlineLevel="2" x14ac:dyDescent="0.2">
      <c r="A888" s="108" t="s">
        <v>706</v>
      </c>
      <c r="B888" s="108"/>
      <c r="C888" s="108"/>
      <c r="D888" s="108"/>
      <c r="E888" s="28" t="s">
        <v>147</v>
      </c>
      <c r="F888" s="29">
        <v>1</v>
      </c>
      <c r="G888" s="44">
        <v>422.02</v>
      </c>
      <c r="H888" s="31">
        <v>84.4</v>
      </c>
      <c r="I888" s="44">
        <v>506.42</v>
      </c>
    </row>
    <row r="889" spans="1:9" s="18" customFormat="1" ht="11.1" hidden="1" customHeight="1" outlineLevel="2" x14ac:dyDescent="0.2">
      <c r="A889" s="108" t="s">
        <v>763</v>
      </c>
      <c r="B889" s="108"/>
      <c r="C889" s="108"/>
      <c r="D889" s="108"/>
      <c r="E889" s="28" t="s">
        <v>147</v>
      </c>
      <c r="F889" s="29">
        <v>1</v>
      </c>
      <c r="G889" s="44">
        <v>360.15</v>
      </c>
      <c r="H889" s="31">
        <v>72.03</v>
      </c>
      <c r="I889" s="44">
        <v>432.18</v>
      </c>
    </row>
    <row r="890" spans="1:9" s="18" customFormat="1" ht="11.1" hidden="1" customHeight="1" outlineLevel="2" x14ac:dyDescent="0.2">
      <c r="A890" s="108" t="s">
        <v>764</v>
      </c>
      <c r="B890" s="108"/>
      <c r="C890" s="108"/>
      <c r="D890" s="108"/>
      <c r="E890" s="28" t="s">
        <v>147</v>
      </c>
      <c r="F890" s="29">
        <v>1</v>
      </c>
      <c r="G890" s="44">
        <v>422.02</v>
      </c>
      <c r="H890" s="31">
        <v>84.4</v>
      </c>
      <c r="I890" s="44">
        <v>506.42</v>
      </c>
    </row>
    <row r="891" spans="1:9" s="18" customFormat="1" ht="11.1" hidden="1" customHeight="1" outlineLevel="2" x14ac:dyDescent="0.2">
      <c r="A891" s="108" t="s">
        <v>765</v>
      </c>
      <c r="B891" s="108"/>
      <c r="C891" s="108"/>
      <c r="D891" s="108"/>
      <c r="E891" s="28" t="s">
        <v>147</v>
      </c>
      <c r="F891" s="29">
        <v>2</v>
      </c>
      <c r="G891" s="30">
        <v>1395.28</v>
      </c>
      <c r="H891" s="31">
        <v>279.06</v>
      </c>
      <c r="I891" s="30">
        <v>1674.34</v>
      </c>
    </row>
    <row r="892" spans="1:9" s="18" customFormat="1" ht="11.1" hidden="1" customHeight="1" outlineLevel="2" x14ac:dyDescent="0.2">
      <c r="A892" s="108" t="s">
        <v>766</v>
      </c>
      <c r="B892" s="108"/>
      <c r="C892" s="108"/>
      <c r="D892" s="108"/>
      <c r="E892" s="28" t="s">
        <v>147</v>
      </c>
      <c r="F892" s="29">
        <v>1</v>
      </c>
      <c r="G892" s="44">
        <v>697.64</v>
      </c>
      <c r="H892" s="31">
        <v>139.53</v>
      </c>
      <c r="I892" s="44">
        <v>837.17</v>
      </c>
    </row>
    <row r="893" spans="1:9" s="18" customFormat="1" ht="11.1" hidden="1" customHeight="1" outlineLevel="2" x14ac:dyDescent="0.2">
      <c r="A893" s="108" t="s">
        <v>767</v>
      </c>
      <c r="B893" s="108"/>
      <c r="C893" s="108"/>
      <c r="D893" s="108"/>
      <c r="E893" s="28" t="s">
        <v>147</v>
      </c>
      <c r="F893" s="29">
        <v>1</v>
      </c>
      <c r="G893" s="44">
        <v>697.64</v>
      </c>
      <c r="H893" s="31">
        <v>139.53</v>
      </c>
      <c r="I893" s="44">
        <v>837.17</v>
      </c>
    </row>
    <row r="894" spans="1:9" s="18" customFormat="1" ht="11.1" hidden="1" customHeight="1" outlineLevel="2" x14ac:dyDescent="0.2">
      <c r="A894" s="108" t="s">
        <v>768</v>
      </c>
      <c r="B894" s="108"/>
      <c r="C894" s="108"/>
      <c r="D894" s="108"/>
      <c r="E894" s="28" t="s">
        <v>147</v>
      </c>
      <c r="F894" s="29">
        <v>1</v>
      </c>
      <c r="G894" s="44">
        <v>697.64</v>
      </c>
      <c r="H894" s="31">
        <v>139.53</v>
      </c>
      <c r="I894" s="44">
        <v>837.17</v>
      </c>
    </row>
    <row r="895" spans="1:9" s="18" customFormat="1" ht="11.1" hidden="1" customHeight="1" outlineLevel="2" x14ac:dyDescent="0.2">
      <c r="A895" s="108" t="s">
        <v>753</v>
      </c>
      <c r="B895" s="108"/>
      <c r="C895" s="108"/>
      <c r="D895" s="108"/>
      <c r="E895" s="28" t="s">
        <v>147</v>
      </c>
      <c r="F895" s="29">
        <v>2</v>
      </c>
      <c r="G895" s="44">
        <v>799.93</v>
      </c>
      <c r="H895" s="31">
        <v>159.99</v>
      </c>
      <c r="I895" s="44">
        <v>959.92</v>
      </c>
    </row>
    <row r="896" spans="1:9" s="18" customFormat="1" ht="11.1" hidden="1" customHeight="1" outlineLevel="2" x14ac:dyDescent="0.2">
      <c r="A896" s="108" t="s">
        <v>769</v>
      </c>
      <c r="B896" s="108"/>
      <c r="C896" s="108"/>
      <c r="D896" s="108"/>
      <c r="E896" s="28" t="s">
        <v>147</v>
      </c>
      <c r="F896" s="29">
        <v>2</v>
      </c>
      <c r="G896" s="30">
        <v>1084.1300000000001</v>
      </c>
      <c r="H896" s="31">
        <v>216.83</v>
      </c>
      <c r="I896" s="30">
        <v>1300.96</v>
      </c>
    </row>
    <row r="897" spans="1:9" s="18" customFormat="1" ht="11.1" hidden="1" customHeight="1" outlineLevel="2" x14ac:dyDescent="0.2">
      <c r="A897" s="108" t="s">
        <v>770</v>
      </c>
      <c r="B897" s="108"/>
      <c r="C897" s="108"/>
      <c r="D897" s="108"/>
      <c r="E897" s="28" t="s">
        <v>147</v>
      </c>
      <c r="F897" s="29">
        <v>2</v>
      </c>
      <c r="G897" s="30">
        <v>1974.7</v>
      </c>
      <c r="H897" s="31">
        <v>394.94</v>
      </c>
      <c r="I897" s="30">
        <v>2369.64</v>
      </c>
    </row>
    <row r="898" spans="1:9" s="18" customFormat="1" ht="11.1" hidden="1" customHeight="1" outlineLevel="2" x14ac:dyDescent="0.2">
      <c r="A898" s="108" t="s">
        <v>754</v>
      </c>
      <c r="B898" s="108"/>
      <c r="C898" s="108"/>
      <c r="D898" s="108"/>
      <c r="E898" s="28" t="s">
        <v>147</v>
      </c>
      <c r="F898" s="29">
        <v>1</v>
      </c>
      <c r="G898" s="44">
        <v>987.35</v>
      </c>
      <c r="H898" s="31">
        <v>197.47</v>
      </c>
      <c r="I898" s="30">
        <v>1184.82</v>
      </c>
    </row>
    <row r="899" spans="1:9" s="18" customFormat="1" ht="11.1" hidden="1" customHeight="1" outlineLevel="2" x14ac:dyDescent="0.2">
      <c r="A899" s="108" t="s">
        <v>721</v>
      </c>
      <c r="B899" s="108"/>
      <c r="C899" s="108"/>
      <c r="D899" s="108"/>
      <c r="E899" s="28" t="s">
        <v>147</v>
      </c>
      <c r="F899" s="29">
        <v>1</v>
      </c>
      <c r="G899" s="44">
        <v>399.97</v>
      </c>
      <c r="H899" s="31">
        <v>79.989999999999995</v>
      </c>
      <c r="I899" s="44">
        <v>479.96</v>
      </c>
    </row>
    <row r="900" spans="1:9" s="18" customFormat="1" ht="21.95" hidden="1" customHeight="1" outlineLevel="2" x14ac:dyDescent="0.2">
      <c r="A900" s="108" t="s">
        <v>719</v>
      </c>
      <c r="B900" s="108"/>
      <c r="C900" s="108"/>
      <c r="D900" s="108"/>
      <c r="E900" s="28" t="s">
        <v>147</v>
      </c>
      <c r="F900" s="29">
        <v>1</v>
      </c>
      <c r="G900" s="44">
        <v>542.07000000000005</v>
      </c>
      <c r="H900" s="31">
        <v>108.41</v>
      </c>
      <c r="I900" s="44">
        <v>650.48</v>
      </c>
    </row>
    <row r="901" spans="1:9" s="18" customFormat="1" ht="21.95" hidden="1" customHeight="1" outlineLevel="2" x14ac:dyDescent="0.2">
      <c r="A901" s="108" t="s">
        <v>726</v>
      </c>
      <c r="B901" s="108"/>
      <c r="C901" s="108"/>
      <c r="D901" s="108"/>
      <c r="E901" s="28" t="s">
        <v>147</v>
      </c>
      <c r="F901" s="29">
        <v>1</v>
      </c>
      <c r="G901" s="44">
        <v>542.07000000000005</v>
      </c>
      <c r="H901" s="31">
        <v>108.41</v>
      </c>
      <c r="I901" s="44">
        <v>650.48</v>
      </c>
    </row>
    <row r="902" spans="1:9" s="18" customFormat="1" ht="11.1" hidden="1" customHeight="1" outlineLevel="2" x14ac:dyDescent="0.2">
      <c r="A902" s="108" t="s">
        <v>738</v>
      </c>
      <c r="B902" s="108"/>
      <c r="C902" s="108"/>
      <c r="D902" s="108"/>
      <c r="E902" s="28" t="s">
        <v>147</v>
      </c>
      <c r="F902" s="29">
        <v>1</v>
      </c>
      <c r="G902" s="44">
        <v>399.97</v>
      </c>
      <c r="H902" s="31">
        <v>79.989999999999995</v>
      </c>
      <c r="I902" s="44">
        <v>479.96</v>
      </c>
    </row>
    <row r="903" spans="1:9" s="18" customFormat="1" ht="11.1" hidden="1" customHeight="1" outlineLevel="2" x14ac:dyDescent="0.2">
      <c r="A903" s="108" t="s">
        <v>737</v>
      </c>
      <c r="B903" s="108"/>
      <c r="C903" s="108"/>
      <c r="D903" s="108"/>
      <c r="E903" s="28" t="s">
        <v>147</v>
      </c>
      <c r="F903" s="29">
        <v>1</v>
      </c>
      <c r="G903" s="44">
        <v>987.35</v>
      </c>
      <c r="H903" s="31">
        <v>197.47</v>
      </c>
      <c r="I903" s="30">
        <v>1184.82</v>
      </c>
    </row>
    <row r="904" spans="1:9" s="18" customFormat="1" ht="11.1" hidden="1" customHeight="1" outlineLevel="2" x14ac:dyDescent="0.2">
      <c r="A904" s="108" t="s">
        <v>771</v>
      </c>
      <c r="B904" s="108"/>
      <c r="C904" s="108"/>
      <c r="D904" s="108"/>
      <c r="E904" s="28" t="s">
        <v>147</v>
      </c>
      <c r="F904" s="29">
        <v>1</v>
      </c>
      <c r="G904" s="44">
        <v>987.35</v>
      </c>
      <c r="H904" s="31">
        <v>197.47</v>
      </c>
      <c r="I904" s="30">
        <v>1184.82</v>
      </c>
    </row>
    <row r="905" spans="1:9" s="18" customFormat="1" ht="11.1" hidden="1" customHeight="1" outlineLevel="2" x14ac:dyDescent="0.2">
      <c r="A905" s="108" t="s">
        <v>772</v>
      </c>
      <c r="B905" s="108"/>
      <c r="C905" s="108"/>
      <c r="D905" s="108"/>
      <c r="E905" s="28" t="s">
        <v>147</v>
      </c>
      <c r="F905" s="29">
        <v>1</v>
      </c>
      <c r="G905" s="44">
        <v>399.97</v>
      </c>
      <c r="H905" s="31">
        <v>79.989999999999995</v>
      </c>
      <c r="I905" s="44">
        <v>479.96</v>
      </c>
    </row>
    <row r="906" spans="1:9" s="18" customFormat="1" ht="21.95" hidden="1" customHeight="1" outlineLevel="2" x14ac:dyDescent="0.2">
      <c r="A906" s="108" t="s">
        <v>773</v>
      </c>
      <c r="B906" s="108"/>
      <c r="C906" s="108"/>
      <c r="D906" s="108"/>
      <c r="E906" s="28" t="s">
        <v>147</v>
      </c>
      <c r="F906" s="29">
        <v>1</v>
      </c>
      <c r="G906" s="44">
        <v>542.07000000000005</v>
      </c>
      <c r="H906" s="31">
        <v>108.41</v>
      </c>
      <c r="I906" s="44">
        <v>650.48</v>
      </c>
    </row>
    <row r="907" spans="1:9" s="18" customFormat="1" ht="21.95" hidden="1" customHeight="1" outlineLevel="2" x14ac:dyDescent="0.2">
      <c r="A907" s="108" t="s">
        <v>774</v>
      </c>
      <c r="B907" s="108"/>
      <c r="C907" s="108"/>
      <c r="D907" s="108"/>
      <c r="E907" s="28" t="s">
        <v>147</v>
      </c>
      <c r="F907" s="29">
        <v>5</v>
      </c>
      <c r="G907" s="44">
        <v>510.67</v>
      </c>
      <c r="H907" s="31">
        <v>102.13</v>
      </c>
      <c r="I907" s="44">
        <v>612.79999999999995</v>
      </c>
    </row>
    <row r="908" spans="1:9" s="18" customFormat="1" ht="11.1" hidden="1" customHeight="1" outlineLevel="2" x14ac:dyDescent="0.2">
      <c r="A908" s="108" t="s">
        <v>746</v>
      </c>
      <c r="B908" s="108"/>
      <c r="C908" s="108"/>
      <c r="D908" s="108"/>
      <c r="E908" s="28" t="s">
        <v>147</v>
      </c>
      <c r="F908" s="29">
        <v>5</v>
      </c>
      <c r="G908" s="30">
        <v>1522.09</v>
      </c>
      <c r="H908" s="31">
        <v>304.41000000000003</v>
      </c>
      <c r="I908" s="30">
        <v>1826.5</v>
      </c>
    </row>
    <row r="909" spans="1:9" s="18" customFormat="1" ht="11.1" hidden="1" customHeight="1" outlineLevel="2" x14ac:dyDescent="0.2">
      <c r="A909" s="108" t="s">
        <v>720</v>
      </c>
      <c r="B909" s="108"/>
      <c r="C909" s="108"/>
      <c r="D909" s="108"/>
      <c r="E909" s="28" t="s">
        <v>147</v>
      </c>
      <c r="F909" s="29">
        <v>1</v>
      </c>
      <c r="G909" s="44">
        <v>790.12</v>
      </c>
      <c r="H909" s="31">
        <v>158.03</v>
      </c>
      <c r="I909" s="44">
        <v>948.15</v>
      </c>
    </row>
    <row r="910" spans="1:9" s="18" customFormat="1" ht="11.1" hidden="1" customHeight="1" outlineLevel="2" x14ac:dyDescent="0.2">
      <c r="A910" s="108" t="s">
        <v>775</v>
      </c>
      <c r="B910" s="108"/>
      <c r="C910" s="108"/>
      <c r="D910" s="108"/>
      <c r="E910" s="28" t="s">
        <v>147</v>
      </c>
      <c r="F910" s="29">
        <v>2</v>
      </c>
      <c r="G910" s="30">
        <v>1580.25</v>
      </c>
      <c r="H910" s="31">
        <v>316.05</v>
      </c>
      <c r="I910" s="30">
        <v>1896.3</v>
      </c>
    </row>
    <row r="911" spans="1:9" s="18" customFormat="1" ht="11.1" hidden="1" customHeight="1" outlineLevel="2" x14ac:dyDescent="0.2">
      <c r="A911" s="108" t="s">
        <v>776</v>
      </c>
      <c r="B911" s="108"/>
      <c r="C911" s="108"/>
      <c r="D911" s="108"/>
      <c r="E911" s="28" t="s">
        <v>147</v>
      </c>
      <c r="F911" s="29">
        <v>1</v>
      </c>
      <c r="G911" s="44">
        <v>790.12</v>
      </c>
      <c r="H911" s="31">
        <v>158.03</v>
      </c>
      <c r="I911" s="44">
        <v>948.15</v>
      </c>
    </row>
    <row r="912" spans="1:9" s="18" customFormat="1" ht="11.1" hidden="1" customHeight="1" outlineLevel="2" collapsed="1" x14ac:dyDescent="0.2">
      <c r="A912" s="108" t="s">
        <v>777</v>
      </c>
      <c r="B912" s="108"/>
      <c r="C912" s="108"/>
      <c r="D912" s="108"/>
      <c r="E912" s="28" t="s">
        <v>147</v>
      </c>
      <c r="F912" s="29">
        <v>1</v>
      </c>
      <c r="G912" s="44">
        <v>790.12</v>
      </c>
      <c r="H912" s="31">
        <v>158.03</v>
      </c>
      <c r="I912" s="44">
        <v>948.15</v>
      </c>
    </row>
    <row r="913" spans="1:9" s="18" customFormat="1" ht="11.1" hidden="1" customHeight="1" outlineLevel="1" collapsed="1" x14ac:dyDescent="0.2">
      <c r="A913" s="107" t="s">
        <v>778</v>
      </c>
      <c r="B913" s="107"/>
      <c r="C913" s="107"/>
      <c r="D913" s="107"/>
      <c r="E913" s="107"/>
      <c r="F913" s="25">
        <v>81</v>
      </c>
      <c r="G913" s="26">
        <v>60683.13</v>
      </c>
      <c r="H913" s="40">
        <v>12136.7</v>
      </c>
      <c r="I913" s="26">
        <v>72819.83</v>
      </c>
    </row>
    <row r="914" spans="1:9" s="18" customFormat="1" ht="11.1" hidden="1" customHeight="1" outlineLevel="2" x14ac:dyDescent="0.2">
      <c r="A914" s="108" t="s">
        <v>779</v>
      </c>
      <c r="B914" s="108"/>
      <c r="C914" s="108"/>
      <c r="D914" s="108"/>
      <c r="E914" s="28" t="s">
        <v>147</v>
      </c>
      <c r="F914" s="29">
        <v>2</v>
      </c>
      <c r="G914" s="30">
        <v>2071.65</v>
      </c>
      <c r="H914" s="31">
        <v>414.33</v>
      </c>
      <c r="I914" s="30">
        <v>2485.98</v>
      </c>
    </row>
    <row r="915" spans="1:9" s="18" customFormat="1" ht="11.1" hidden="1" customHeight="1" outlineLevel="2" x14ac:dyDescent="0.2">
      <c r="A915" s="108" t="s">
        <v>780</v>
      </c>
      <c r="B915" s="108"/>
      <c r="C915" s="108"/>
      <c r="D915" s="108"/>
      <c r="E915" s="28" t="s">
        <v>147</v>
      </c>
      <c r="F915" s="29">
        <v>1</v>
      </c>
      <c r="G915" s="44">
        <v>831</v>
      </c>
      <c r="H915" s="31">
        <v>166.2</v>
      </c>
      <c r="I915" s="44">
        <v>997.2</v>
      </c>
    </row>
    <row r="916" spans="1:9" s="18" customFormat="1" ht="11.1" hidden="1" customHeight="1" outlineLevel="2" x14ac:dyDescent="0.2">
      <c r="A916" s="108" t="s">
        <v>781</v>
      </c>
      <c r="B916" s="108"/>
      <c r="C916" s="108"/>
      <c r="D916" s="108"/>
      <c r="E916" s="28" t="s">
        <v>147</v>
      </c>
      <c r="F916" s="29">
        <v>2</v>
      </c>
      <c r="G916" s="30">
        <v>1879.5</v>
      </c>
      <c r="H916" s="31">
        <v>375.9</v>
      </c>
      <c r="I916" s="30">
        <v>2255.4</v>
      </c>
    </row>
    <row r="917" spans="1:9" s="18" customFormat="1" ht="11.1" hidden="1" customHeight="1" outlineLevel="2" x14ac:dyDescent="0.2">
      <c r="A917" s="108" t="s">
        <v>729</v>
      </c>
      <c r="B917" s="108"/>
      <c r="C917" s="108"/>
      <c r="D917" s="108"/>
      <c r="E917" s="28" t="s">
        <v>147</v>
      </c>
      <c r="F917" s="29">
        <v>3</v>
      </c>
      <c r="G917" s="30">
        <v>3474.72</v>
      </c>
      <c r="H917" s="31">
        <v>694.95</v>
      </c>
      <c r="I917" s="30">
        <v>4169.67</v>
      </c>
    </row>
    <row r="918" spans="1:9" s="18" customFormat="1" ht="11.1" hidden="1" customHeight="1" outlineLevel="2" x14ac:dyDescent="0.2">
      <c r="A918" s="108" t="s">
        <v>782</v>
      </c>
      <c r="B918" s="108"/>
      <c r="C918" s="108"/>
      <c r="D918" s="108"/>
      <c r="E918" s="28" t="s">
        <v>147</v>
      </c>
      <c r="F918" s="29">
        <v>2</v>
      </c>
      <c r="G918" s="30">
        <v>2316.48</v>
      </c>
      <c r="H918" s="31">
        <v>463.3</v>
      </c>
      <c r="I918" s="30">
        <v>2779.78</v>
      </c>
    </row>
    <row r="919" spans="1:9" s="18" customFormat="1" ht="11.1" hidden="1" customHeight="1" outlineLevel="2" x14ac:dyDescent="0.2">
      <c r="A919" s="108" t="s">
        <v>728</v>
      </c>
      <c r="B919" s="108"/>
      <c r="C919" s="108"/>
      <c r="D919" s="108"/>
      <c r="E919" s="28" t="s">
        <v>147</v>
      </c>
      <c r="F919" s="29">
        <v>2</v>
      </c>
      <c r="G919" s="30">
        <v>2316.48</v>
      </c>
      <c r="H919" s="31">
        <v>463.3</v>
      </c>
      <c r="I919" s="30">
        <v>2779.78</v>
      </c>
    </row>
    <row r="920" spans="1:9" s="18" customFormat="1" ht="11.1" hidden="1" customHeight="1" outlineLevel="2" x14ac:dyDescent="0.2">
      <c r="A920" s="108" t="s">
        <v>783</v>
      </c>
      <c r="B920" s="108"/>
      <c r="C920" s="108"/>
      <c r="D920" s="108"/>
      <c r="E920" s="28" t="s">
        <v>147</v>
      </c>
      <c r="F920" s="29">
        <v>10</v>
      </c>
      <c r="G920" s="30">
        <v>11582.41</v>
      </c>
      <c r="H920" s="32">
        <v>2316.4899999999998</v>
      </c>
      <c r="I920" s="30">
        <v>13898.9</v>
      </c>
    </row>
    <row r="921" spans="1:9" s="18" customFormat="1" ht="11.1" hidden="1" customHeight="1" outlineLevel="2" x14ac:dyDescent="0.2">
      <c r="A921" s="108" t="s">
        <v>784</v>
      </c>
      <c r="B921" s="108"/>
      <c r="C921" s="108"/>
      <c r="D921" s="108"/>
      <c r="E921" s="28" t="s">
        <v>147</v>
      </c>
      <c r="F921" s="29">
        <v>6</v>
      </c>
      <c r="G921" s="30">
        <v>5295.7</v>
      </c>
      <c r="H921" s="32">
        <v>1059.1400000000001</v>
      </c>
      <c r="I921" s="30">
        <v>6354.84</v>
      </c>
    </row>
    <row r="922" spans="1:9" s="18" customFormat="1" ht="11.1" hidden="1" customHeight="1" outlineLevel="2" x14ac:dyDescent="0.2">
      <c r="A922" s="108" t="s">
        <v>785</v>
      </c>
      <c r="B922" s="108"/>
      <c r="C922" s="108"/>
      <c r="D922" s="108"/>
      <c r="E922" s="28" t="s">
        <v>147</v>
      </c>
      <c r="F922" s="29">
        <v>3</v>
      </c>
      <c r="G922" s="30">
        <v>2186.62</v>
      </c>
      <c r="H922" s="31">
        <v>437.33</v>
      </c>
      <c r="I922" s="30">
        <v>2623.95</v>
      </c>
    </row>
    <row r="923" spans="1:9" s="18" customFormat="1" ht="11.1" hidden="1" customHeight="1" outlineLevel="2" x14ac:dyDescent="0.2">
      <c r="A923" s="108" t="s">
        <v>786</v>
      </c>
      <c r="B923" s="108"/>
      <c r="C923" s="108"/>
      <c r="D923" s="108"/>
      <c r="E923" s="28" t="s">
        <v>147</v>
      </c>
      <c r="F923" s="29">
        <v>3</v>
      </c>
      <c r="G923" s="30">
        <v>2186.62</v>
      </c>
      <c r="H923" s="31">
        <v>437.33</v>
      </c>
      <c r="I923" s="30">
        <v>2623.95</v>
      </c>
    </row>
    <row r="924" spans="1:9" s="18" customFormat="1" ht="11.1" hidden="1" customHeight="1" outlineLevel="2" x14ac:dyDescent="0.2">
      <c r="A924" s="108" t="s">
        <v>715</v>
      </c>
      <c r="B924" s="108"/>
      <c r="C924" s="108"/>
      <c r="D924" s="108"/>
      <c r="E924" s="28" t="s">
        <v>147</v>
      </c>
      <c r="F924" s="29">
        <v>3</v>
      </c>
      <c r="G924" s="30">
        <v>2186.62</v>
      </c>
      <c r="H924" s="31">
        <v>437.33</v>
      </c>
      <c r="I924" s="30">
        <v>2623.95</v>
      </c>
    </row>
    <row r="925" spans="1:9" s="18" customFormat="1" ht="11.1" hidden="1" customHeight="1" outlineLevel="2" x14ac:dyDescent="0.2">
      <c r="A925" s="108" t="s">
        <v>787</v>
      </c>
      <c r="B925" s="108"/>
      <c r="C925" s="108"/>
      <c r="D925" s="108"/>
      <c r="E925" s="28" t="s">
        <v>147</v>
      </c>
      <c r="F925" s="29">
        <v>2</v>
      </c>
      <c r="G925" s="30">
        <v>1457.75</v>
      </c>
      <c r="H925" s="31">
        <v>291.55</v>
      </c>
      <c r="I925" s="30">
        <v>1749.3</v>
      </c>
    </row>
    <row r="926" spans="1:9" s="18" customFormat="1" ht="11.1" hidden="1" customHeight="1" outlineLevel="2" x14ac:dyDescent="0.2">
      <c r="A926" s="108" t="s">
        <v>788</v>
      </c>
      <c r="B926" s="108"/>
      <c r="C926" s="108"/>
      <c r="D926" s="108"/>
      <c r="E926" s="28" t="s">
        <v>147</v>
      </c>
      <c r="F926" s="29">
        <v>2</v>
      </c>
      <c r="G926" s="44">
        <v>799.93</v>
      </c>
      <c r="H926" s="31">
        <v>159.99</v>
      </c>
      <c r="I926" s="44">
        <v>959.92</v>
      </c>
    </row>
    <row r="927" spans="1:9" s="18" customFormat="1" ht="11.1" hidden="1" customHeight="1" outlineLevel="2" x14ac:dyDescent="0.2">
      <c r="A927" s="108" t="s">
        <v>753</v>
      </c>
      <c r="B927" s="108"/>
      <c r="C927" s="108"/>
      <c r="D927" s="108"/>
      <c r="E927" s="28" t="s">
        <v>147</v>
      </c>
      <c r="F927" s="29">
        <v>2</v>
      </c>
      <c r="G927" s="44">
        <v>799.93</v>
      </c>
      <c r="H927" s="31">
        <v>159.99</v>
      </c>
      <c r="I927" s="44">
        <v>959.92</v>
      </c>
    </row>
    <row r="928" spans="1:9" s="18" customFormat="1" ht="11.1" hidden="1" customHeight="1" outlineLevel="2" x14ac:dyDescent="0.2">
      <c r="A928" s="108" t="s">
        <v>772</v>
      </c>
      <c r="B928" s="108"/>
      <c r="C928" s="108"/>
      <c r="D928" s="108"/>
      <c r="E928" s="28" t="s">
        <v>147</v>
      </c>
      <c r="F928" s="29">
        <v>1</v>
      </c>
      <c r="G928" s="44">
        <v>399.97</v>
      </c>
      <c r="H928" s="31">
        <v>79.989999999999995</v>
      </c>
      <c r="I928" s="44">
        <v>479.96</v>
      </c>
    </row>
    <row r="929" spans="1:9" s="18" customFormat="1" ht="11.1" hidden="1" customHeight="1" outlineLevel="2" x14ac:dyDescent="0.2">
      <c r="A929" s="108" t="s">
        <v>789</v>
      </c>
      <c r="B929" s="108"/>
      <c r="C929" s="108"/>
      <c r="D929" s="108"/>
      <c r="E929" s="28" t="s">
        <v>147</v>
      </c>
      <c r="F929" s="29">
        <v>2</v>
      </c>
      <c r="G929" s="30">
        <v>1047.3800000000001</v>
      </c>
      <c r="H929" s="31">
        <v>209.48</v>
      </c>
      <c r="I929" s="30">
        <v>1256.8599999999999</v>
      </c>
    </row>
    <row r="930" spans="1:9" s="18" customFormat="1" ht="11.1" hidden="1" customHeight="1" outlineLevel="2" x14ac:dyDescent="0.2">
      <c r="A930" s="108" t="s">
        <v>790</v>
      </c>
      <c r="B930" s="108"/>
      <c r="C930" s="108"/>
      <c r="D930" s="108"/>
      <c r="E930" s="28" t="s">
        <v>147</v>
      </c>
      <c r="F930" s="29">
        <v>2</v>
      </c>
      <c r="G930" s="30">
        <v>1047.3800000000001</v>
      </c>
      <c r="H930" s="31">
        <v>209.48</v>
      </c>
      <c r="I930" s="30">
        <v>1256.8599999999999</v>
      </c>
    </row>
    <row r="931" spans="1:9" s="18" customFormat="1" ht="11.1" hidden="1" customHeight="1" outlineLevel="2" x14ac:dyDescent="0.2">
      <c r="A931" s="108" t="s">
        <v>791</v>
      </c>
      <c r="B931" s="108"/>
      <c r="C931" s="108"/>
      <c r="D931" s="108"/>
      <c r="E931" s="28" t="s">
        <v>147</v>
      </c>
      <c r="F931" s="29">
        <v>3</v>
      </c>
      <c r="G931" s="44">
        <v>466.72</v>
      </c>
      <c r="H931" s="31">
        <v>93.35</v>
      </c>
      <c r="I931" s="44">
        <v>560.07000000000005</v>
      </c>
    </row>
    <row r="932" spans="1:9" s="18" customFormat="1" ht="11.1" hidden="1" customHeight="1" outlineLevel="2" x14ac:dyDescent="0.2">
      <c r="A932" s="108" t="s">
        <v>762</v>
      </c>
      <c r="B932" s="108"/>
      <c r="C932" s="108"/>
      <c r="D932" s="108"/>
      <c r="E932" s="28" t="s">
        <v>147</v>
      </c>
      <c r="F932" s="29">
        <v>3</v>
      </c>
      <c r="G932" s="44">
        <v>466.72</v>
      </c>
      <c r="H932" s="31">
        <v>93.35</v>
      </c>
      <c r="I932" s="44">
        <v>560.07000000000005</v>
      </c>
    </row>
    <row r="933" spans="1:9" s="18" customFormat="1" ht="11.1" hidden="1" customHeight="1" outlineLevel="2" x14ac:dyDescent="0.2">
      <c r="A933" s="108" t="s">
        <v>792</v>
      </c>
      <c r="B933" s="108"/>
      <c r="C933" s="108"/>
      <c r="D933" s="108"/>
      <c r="E933" s="28" t="s">
        <v>147</v>
      </c>
      <c r="F933" s="29">
        <v>2</v>
      </c>
      <c r="G933" s="44">
        <v>732.55</v>
      </c>
      <c r="H933" s="31">
        <v>146.51</v>
      </c>
      <c r="I933" s="44">
        <v>879.06</v>
      </c>
    </row>
    <row r="934" spans="1:9" s="18" customFormat="1" ht="11.1" hidden="1" customHeight="1" outlineLevel="2" x14ac:dyDescent="0.2">
      <c r="A934" s="108" t="s">
        <v>793</v>
      </c>
      <c r="B934" s="108"/>
      <c r="C934" s="108"/>
      <c r="D934" s="108"/>
      <c r="E934" s="28" t="s">
        <v>147</v>
      </c>
      <c r="F934" s="29">
        <v>2</v>
      </c>
      <c r="G934" s="44">
        <v>732.55</v>
      </c>
      <c r="H934" s="31">
        <v>146.51</v>
      </c>
      <c r="I934" s="44">
        <v>879.06</v>
      </c>
    </row>
    <row r="935" spans="1:9" s="18" customFormat="1" ht="11.1" hidden="1" customHeight="1" outlineLevel="2" x14ac:dyDescent="0.2">
      <c r="A935" s="108" t="s">
        <v>794</v>
      </c>
      <c r="B935" s="108"/>
      <c r="C935" s="108"/>
      <c r="D935" s="108"/>
      <c r="E935" s="28" t="s">
        <v>147</v>
      </c>
      <c r="F935" s="29">
        <v>2</v>
      </c>
      <c r="G935" s="30">
        <v>1810.55</v>
      </c>
      <c r="H935" s="31">
        <v>362.11</v>
      </c>
      <c r="I935" s="30">
        <v>2172.66</v>
      </c>
    </row>
    <row r="936" spans="1:9" s="18" customFormat="1" ht="11.1" hidden="1" customHeight="1" outlineLevel="2" x14ac:dyDescent="0.2">
      <c r="A936" s="108" t="s">
        <v>795</v>
      </c>
      <c r="B936" s="108"/>
      <c r="C936" s="108"/>
      <c r="D936" s="108"/>
      <c r="E936" s="28" t="s">
        <v>147</v>
      </c>
      <c r="F936" s="29">
        <v>4</v>
      </c>
      <c r="G936" s="30">
        <v>1016.4</v>
      </c>
      <c r="H936" s="31">
        <v>203.28</v>
      </c>
      <c r="I936" s="30">
        <v>1219.68</v>
      </c>
    </row>
    <row r="937" spans="1:9" s="18" customFormat="1" ht="11.1" hidden="1" customHeight="1" outlineLevel="2" x14ac:dyDescent="0.2">
      <c r="A937" s="108" t="s">
        <v>757</v>
      </c>
      <c r="B937" s="108"/>
      <c r="C937" s="108"/>
      <c r="D937" s="108"/>
      <c r="E937" s="28" t="s">
        <v>147</v>
      </c>
      <c r="F937" s="29">
        <v>1</v>
      </c>
      <c r="G937" s="30">
        <v>5157.6000000000004</v>
      </c>
      <c r="H937" s="32">
        <v>1031.52</v>
      </c>
      <c r="I937" s="30">
        <v>6189.12</v>
      </c>
    </row>
    <row r="938" spans="1:9" s="18" customFormat="1" ht="11.1" hidden="1" customHeight="1" outlineLevel="2" x14ac:dyDescent="0.2">
      <c r="A938" s="108" t="s">
        <v>796</v>
      </c>
      <c r="B938" s="108"/>
      <c r="C938" s="108"/>
      <c r="D938" s="108"/>
      <c r="E938" s="28" t="s">
        <v>147</v>
      </c>
      <c r="F938" s="29">
        <v>4</v>
      </c>
      <c r="G938" s="30">
        <v>1170</v>
      </c>
      <c r="H938" s="31">
        <v>234</v>
      </c>
      <c r="I938" s="30">
        <v>1404</v>
      </c>
    </row>
    <row r="939" spans="1:9" s="18" customFormat="1" ht="21.95" hidden="1" customHeight="1" outlineLevel="2" x14ac:dyDescent="0.2">
      <c r="A939" s="108" t="s">
        <v>797</v>
      </c>
      <c r="B939" s="108"/>
      <c r="C939" s="108"/>
      <c r="D939" s="108"/>
      <c r="E939" s="28" t="s">
        <v>147</v>
      </c>
      <c r="F939" s="29">
        <v>1</v>
      </c>
      <c r="G939" s="44">
        <v>152.25</v>
      </c>
      <c r="H939" s="31">
        <v>30.45</v>
      </c>
      <c r="I939" s="44">
        <v>182.7</v>
      </c>
    </row>
    <row r="940" spans="1:9" s="18" customFormat="1" ht="11.1" hidden="1" customHeight="1" outlineLevel="2" x14ac:dyDescent="0.2">
      <c r="A940" s="108" t="s">
        <v>798</v>
      </c>
      <c r="B940" s="108"/>
      <c r="C940" s="108"/>
      <c r="D940" s="108"/>
      <c r="E940" s="28" t="s">
        <v>147</v>
      </c>
      <c r="F940" s="29">
        <v>2</v>
      </c>
      <c r="G940" s="44">
        <v>943.25</v>
      </c>
      <c r="H940" s="31">
        <v>188.65</v>
      </c>
      <c r="I940" s="30">
        <v>1131.9000000000001</v>
      </c>
    </row>
    <row r="941" spans="1:9" s="18" customFormat="1" ht="11.1" hidden="1" customHeight="1" outlineLevel="2" x14ac:dyDescent="0.2">
      <c r="A941" s="108" t="s">
        <v>799</v>
      </c>
      <c r="B941" s="108"/>
      <c r="C941" s="108"/>
      <c r="D941" s="108"/>
      <c r="E941" s="28" t="s">
        <v>147</v>
      </c>
      <c r="F941" s="29">
        <v>2</v>
      </c>
      <c r="G941" s="44">
        <v>943.25</v>
      </c>
      <c r="H941" s="31">
        <v>188.65</v>
      </c>
      <c r="I941" s="30">
        <v>1131.9000000000001</v>
      </c>
    </row>
    <row r="942" spans="1:9" s="18" customFormat="1" ht="11.1" hidden="1" customHeight="1" outlineLevel="2" x14ac:dyDescent="0.2">
      <c r="A942" s="108" t="s">
        <v>800</v>
      </c>
      <c r="B942" s="108"/>
      <c r="C942" s="108"/>
      <c r="D942" s="108"/>
      <c r="E942" s="28" t="s">
        <v>147</v>
      </c>
      <c r="F942" s="29">
        <v>1</v>
      </c>
      <c r="G942" s="30">
        <v>1253.17</v>
      </c>
      <c r="H942" s="31">
        <v>250.64</v>
      </c>
      <c r="I942" s="30">
        <v>1503.81</v>
      </c>
    </row>
    <row r="943" spans="1:9" s="18" customFormat="1" ht="11.1" hidden="1" customHeight="1" outlineLevel="2" x14ac:dyDescent="0.2">
      <c r="A943" s="108" t="s">
        <v>801</v>
      </c>
      <c r="B943" s="108"/>
      <c r="C943" s="108"/>
      <c r="D943" s="108"/>
      <c r="E943" s="28" t="s">
        <v>147</v>
      </c>
      <c r="F943" s="29">
        <v>2</v>
      </c>
      <c r="G943" s="44">
        <v>943.25</v>
      </c>
      <c r="H943" s="31">
        <v>188.65</v>
      </c>
      <c r="I943" s="30">
        <v>1131.9000000000001</v>
      </c>
    </row>
    <row r="944" spans="1:9" s="18" customFormat="1" ht="11.1" hidden="1" customHeight="1" outlineLevel="2" x14ac:dyDescent="0.2">
      <c r="A944" s="108" t="s">
        <v>802</v>
      </c>
      <c r="B944" s="108"/>
      <c r="C944" s="108"/>
      <c r="D944" s="108"/>
      <c r="E944" s="28" t="s">
        <v>147</v>
      </c>
      <c r="F944" s="29">
        <v>2</v>
      </c>
      <c r="G944" s="30">
        <v>1810.55</v>
      </c>
      <c r="H944" s="31">
        <v>362.11</v>
      </c>
      <c r="I944" s="30">
        <v>2172.66</v>
      </c>
    </row>
    <row r="945" spans="1:10" s="18" customFormat="1" ht="21.95" hidden="1" customHeight="1" outlineLevel="2" x14ac:dyDescent="0.2">
      <c r="A945" s="108" t="s">
        <v>803</v>
      </c>
      <c r="B945" s="108"/>
      <c r="C945" s="108"/>
      <c r="D945" s="108"/>
      <c r="E945" s="28" t="s">
        <v>147</v>
      </c>
      <c r="F945" s="29">
        <v>1</v>
      </c>
      <c r="G945" s="44">
        <v>602.09</v>
      </c>
      <c r="H945" s="31">
        <v>120.42</v>
      </c>
      <c r="I945" s="44">
        <v>722.51</v>
      </c>
    </row>
    <row r="946" spans="1:10" s="18" customFormat="1" ht="21.95" hidden="1" customHeight="1" outlineLevel="2" x14ac:dyDescent="0.2">
      <c r="A946" s="108" t="s">
        <v>804</v>
      </c>
      <c r="B946" s="108"/>
      <c r="C946" s="108"/>
      <c r="D946" s="108"/>
      <c r="E946" s="28" t="s">
        <v>147</v>
      </c>
      <c r="F946" s="29">
        <v>1</v>
      </c>
      <c r="G946" s="44">
        <v>602.09</v>
      </c>
      <c r="H946" s="31">
        <v>120.42</v>
      </c>
      <c r="I946" s="44">
        <v>722.51</v>
      </c>
    </row>
    <row r="947" spans="1:10" ht="11.1" customHeight="1" collapsed="1" x14ac:dyDescent="0.2">
      <c r="A947" s="109" t="s">
        <v>805</v>
      </c>
      <c r="B947" s="109"/>
      <c r="C947" s="109"/>
      <c r="D947" s="109"/>
      <c r="E947" s="109"/>
      <c r="F947" s="22">
        <v>3</v>
      </c>
      <c r="G947" s="23">
        <v>40298.85</v>
      </c>
      <c r="H947" s="24">
        <v>8059.77</v>
      </c>
      <c r="I947" s="23">
        <v>48358.62</v>
      </c>
      <c r="J947" s="20" t="s">
        <v>1335</v>
      </c>
    </row>
    <row r="948" spans="1:10" s="18" customFormat="1" ht="11.1" hidden="1" customHeight="1" outlineLevel="1" collapsed="1" x14ac:dyDescent="0.2">
      <c r="A948" s="107" t="s">
        <v>806</v>
      </c>
      <c r="B948" s="107"/>
      <c r="C948" s="107"/>
      <c r="D948" s="107"/>
      <c r="E948" s="107"/>
      <c r="F948" s="25">
        <v>1</v>
      </c>
      <c r="G948" s="26">
        <v>7716.81</v>
      </c>
      <c r="H948" s="27">
        <v>1543.36</v>
      </c>
      <c r="I948" s="26">
        <v>9260.17</v>
      </c>
    </row>
    <row r="949" spans="1:10" s="18" customFormat="1" ht="11.1" hidden="1" customHeight="1" outlineLevel="2" collapsed="1" x14ac:dyDescent="0.2">
      <c r="A949" s="108" t="s">
        <v>807</v>
      </c>
      <c r="B949" s="108"/>
      <c r="C949" s="108"/>
      <c r="D949" s="108"/>
      <c r="E949" s="28" t="s">
        <v>147</v>
      </c>
      <c r="F949" s="29">
        <v>1</v>
      </c>
      <c r="G949" s="30">
        <v>7716.81</v>
      </c>
      <c r="H949" s="32">
        <v>1543.36</v>
      </c>
      <c r="I949" s="30">
        <v>9260.17</v>
      </c>
    </row>
    <row r="950" spans="1:10" s="18" customFormat="1" ht="11.1" hidden="1" customHeight="1" outlineLevel="1" collapsed="1" x14ac:dyDescent="0.2">
      <c r="A950" s="107" t="s">
        <v>808</v>
      </c>
      <c r="B950" s="107"/>
      <c r="C950" s="107"/>
      <c r="D950" s="107"/>
      <c r="E950" s="107"/>
      <c r="F950" s="25">
        <v>2</v>
      </c>
      <c r="G950" s="26">
        <v>32582.04</v>
      </c>
      <c r="H950" s="27">
        <v>6516.41</v>
      </c>
      <c r="I950" s="26">
        <v>39098.449999999997</v>
      </c>
    </row>
    <row r="951" spans="1:10" s="18" customFormat="1" ht="11.1" hidden="1" customHeight="1" outlineLevel="2" x14ac:dyDescent="0.2">
      <c r="A951" s="108" t="s">
        <v>809</v>
      </c>
      <c r="B951" s="108"/>
      <c r="C951" s="108"/>
      <c r="D951" s="108"/>
      <c r="E951" s="28" t="s">
        <v>147</v>
      </c>
      <c r="F951" s="29">
        <v>2</v>
      </c>
      <c r="G951" s="30">
        <v>32582.04</v>
      </c>
      <c r="H951" s="32">
        <v>6516.41</v>
      </c>
      <c r="I951" s="30">
        <v>39098.449999999997</v>
      </c>
    </row>
    <row r="952" spans="1:10" ht="11.1" customHeight="1" collapsed="1" x14ac:dyDescent="0.2">
      <c r="A952" s="109" t="s">
        <v>810</v>
      </c>
      <c r="B952" s="109"/>
      <c r="C952" s="109"/>
      <c r="D952" s="109"/>
      <c r="E952" s="109"/>
      <c r="F952" s="47">
        <v>5262.4250000000002</v>
      </c>
      <c r="G952" s="23">
        <v>23222106.510000002</v>
      </c>
      <c r="H952" s="50"/>
      <c r="I952" s="23">
        <v>23222106.510000002</v>
      </c>
      <c r="J952" s="20" t="s">
        <v>116</v>
      </c>
    </row>
    <row r="953" spans="1:10" s="18" customFormat="1" ht="11.1" hidden="1" customHeight="1" outlineLevel="1" collapsed="1" x14ac:dyDescent="0.2">
      <c r="A953" s="107" t="s">
        <v>811</v>
      </c>
      <c r="B953" s="107"/>
      <c r="C953" s="107"/>
      <c r="D953" s="107"/>
      <c r="E953" s="107"/>
      <c r="F953" s="25">
        <v>269.012</v>
      </c>
      <c r="G953" s="26">
        <v>68820.36</v>
      </c>
      <c r="H953" s="48"/>
      <c r="I953" s="26">
        <v>68820.36</v>
      </c>
    </row>
    <row r="954" spans="1:10" s="18" customFormat="1" ht="11.1" hidden="1" customHeight="1" outlineLevel="2" x14ac:dyDescent="0.2">
      <c r="A954" s="108" t="s">
        <v>812</v>
      </c>
      <c r="B954" s="108"/>
      <c r="C954" s="108"/>
      <c r="D954" s="108"/>
      <c r="E954" s="28" t="s">
        <v>547</v>
      </c>
      <c r="F954" s="29">
        <v>26</v>
      </c>
      <c r="G954" s="44">
        <v>55.38</v>
      </c>
      <c r="H954" s="49"/>
      <c r="I954" s="44">
        <v>55.38</v>
      </c>
    </row>
    <row r="955" spans="1:10" s="18" customFormat="1" ht="11.1" hidden="1" customHeight="1" outlineLevel="2" x14ac:dyDescent="0.2">
      <c r="A955" s="108" t="s">
        <v>813</v>
      </c>
      <c r="B955" s="108"/>
      <c r="C955" s="108"/>
      <c r="D955" s="108"/>
      <c r="E955" s="28" t="s">
        <v>547</v>
      </c>
      <c r="F955" s="29">
        <v>52</v>
      </c>
      <c r="G955" s="30">
        <v>1553.76</v>
      </c>
      <c r="H955" s="49"/>
      <c r="I955" s="30">
        <v>1553.76</v>
      </c>
    </row>
    <row r="956" spans="1:10" s="18" customFormat="1" ht="11.1" hidden="1" customHeight="1" outlineLevel="2" x14ac:dyDescent="0.2">
      <c r="A956" s="108" t="s">
        <v>814</v>
      </c>
      <c r="B956" s="108"/>
      <c r="C956" s="108"/>
      <c r="D956" s="108"/>
      <c r="E956" s="28" t="s">
        <v>547</v>
      </c>
      <c r="F956" s="29">
        <v>52</v>
      </c>
      <c r="G956" s="30">
        <v>13659.88</v>
      </c>
      <c r="H956" s="49"/>
      <c r="I956" s="30">
        <v>13659.88</v>
      </c>
    </row>
    <row r="957" spans="1:10" s="18" customFormat="1" ht="11.1" hidden="1" customHeight="1" outlineLevel="2" x14ac:dyDescent="0.2">
      <c r="A957" s="108" t="s">
        <v>815</v>
      </c>
      <c r="B957" s="108"/>
      <c r="C957" s="108"/>
      <c r="D957" s="108"/>
      <c r="E957" s="28" t="s">
        <v>547</v>
      </c>
      <c r="F957" s="29">
        <v>1</v>
      </c>
      <c r="G957" s="30">
        <v>2003.13</v>
      </c>
      <c r="H957" s="49"/>
      <c r="I957" s="30">
        <v>2003.13</v>
      </c>
    </row>
    <row r="958" spans="1:10" s="18" customFormat="1" ht="11.1" hidden="1" customHeight="1" outlineLevel="2" x14ac:dyDescent="0.2">
      <c r="A958" s="108" t="s">
        <v>816</v>
      </c>
      <c r="B958" s="108"/>
      <c r="C958" s="108"/>
      <c r="D958" s="108"/>
      <c r="E958" s="28" t="s">
        <v>547</v>
      </c>
      <c r="F958" s="29">
        <v>26</v>
      </c>
      <c r="G958" s="30">
        <v>25906.66</v>
      </c>
      <c r="H958" s="49"/>
      <c r="I958" s="30">
        <v>25906.66</v>
      </c>
    </row>
    <row r="959" spans="1:10" s="18" customFormat="1" ht="11.1" hidden="1" customHeight="1" outlineLevel="2" x14ac:dyDescent="0.2">
      <c r="A959" s="108" t="s">
        <v>817</v>
      </c>
      <c r="B959" s="108"/>
      <c r="C959" s="108"/>
      <c r="D959" s="108"/>
      <c r="E959" s="28" t="s">
        <v>547</v>
      </c>
      <c r="F959" s="29">
        <v>4.0000000000000001E-3</v>
      </c>
      <c r="G959" s="44">
        <v>7.38</v>
      </c>
      <c r="H959" s="49"/>
      <c r="I959" s="44">
        <v>7.38</v>
      </c>
    </row>
    <row r="960" spans="1:10" s="18" customFormat="1" ht="11.1" hidden="1" customHeight="1" outlineLevel="2" x14ac:dyDescent="0.2">
      <c r="A960" s="108" t="s">
        <v>818</v>
      </c>
      <c r="B960" s="108"/>
      <c r="C960" s="108"/>
      <c r="D960" s="108"/>
      <c r="E960" s="28" t="s">
        <v>547</v>
      </c>
      <c r="F960" s="29">
        <v>4.0000000000000001E-3</v>
      </c>
      <c r="G960" s="44">
        <v>20.89</v>
      </c>
      <c r="H960" s="49"/>
      <c r="I960" s="44">
        <v>20.89</v>
      </c>
    </row>
    <row r="961" spans="1:9" s="18" customFormat="1" ht="11.1" hidden="1" customHeight="1" outlineLevel="2" x14ac:dyDescent="0.2">
      <c r="A961" s="108" t="s">
        <v>819</v>
      </c>
      <c r="B961" s="108"/>
      <c r="C961" s="108"/>
      <c r="D961" s="108"/>
      <c r="E961" s="28" t="s">
        <v>547</v>
      </c>
      <c r="F961" s="29">
        <v>2</v>
      </c>
      <c r="G961" s="30">
        <v>2963.94</v>
      </c>
      <c r="H961" s="49"/>
      <c r="I961" s="30">
        <v>2963.94</v>
      </c>
    </row>
    <row r="962" spans="1:9" s="18" customFormat="1" ht="11.1" hidden="1" customHeight="1" outlineLevel="2" x14ac:dyDescent="0.2">
      <c r="A962" s="108" t="s">
        <v>820</v>
      </c>
      <c r="B962" s="108"/>
      <c r="C962" s="108"/>
      <c r="D962" s="108"/>
      <c r="E962" s="28" t="s">
        <v>547</v>
      </c>
      <c r="F962" s="29">
        <v>2</v>
      </c>
      <c r="G962" s="30">
        <v>2963.94</v>
      </c>
      <c r="H962" s="49"/>
      <c r="I962" s="30">
        <v>2963.94</v>
      </c>
    </row>
    <row r="963" spans="1:9" s="18" customFormat="1" ht="21.95" hidden="1" customHeight="1" outlineLevel="2" x14ac:dyDescent="0.2">
      <c r="A963" s="108" t="s">
        <v>821</v>
      </c>
      <c r="B963" s="108"/>
      <c r="C963" s="108"/>
      <c r="D963" s="108"/>
      <c r="E963" s="28" t="s">
        <v>547</v>
      </c>
      <c r="F963" s="29">
        <v>1</v>
      </c>
      <c r="G963" s="44">
        <v>386.03</v>
      </c>
      <c r="H963" s="49"/>
      <c r="I963" s="44">
        <v>386.03</v>
      </c>
    </row>
    <row r="964" spans="1:9" s="18" customFormat="1" ht="21.95" hidden="1" customHeight="1" outlineLevel="2" x14ac:dyDescent="0.2">
      <c r="A964" s="108" t="s">
        <v>822</v>
      </c>
      <c r="B964" s="108"/>
      <c r="C964" s="108"/>
      <c r="D964" s="108"/>
      <c r="E964" s="28" t="s">
        <v>547</v>
      </c>
      <c r="F964" s="29">
        <v>1</v>
      </c>
      <c r="G964" s="44">
        <v>358.65</v>
      </c>
      <c r="H964" s="49"/>
      <c r="I964" s="44">
        <v>358.65</v>
      </c>
    </row>
    <row r="965" spans="1:9" s="18" customFormat="1" ht="11.1" hidden="1" customHeight="1" outlineLevel="2" x14ac:dyDescent="0.2">
      <c r="A965" s="108" t="s">
        <v>823</v>
      </c>
      <c r="B965" s="108"/>
      <c r="C965" s="108"/>
      <c r="D965" s="108"/>
      <c r="E965" s="28" t="s">
        <v>547</v>
      </c>
      <c r="F965" s="29">
        <v>1</v>
      </c>
      <c r="G965" s="44">
        <v>387.69</v>
      </c>
      <c r="H965" s="49"/>
      <c r="I965" s="44">
        <v>387.69</v>
      </c>
    </row>
    <row r="966" spans="1:9" s="18" customFormat="1" ht="11.1" hidden="1" customHeight="1" outlineLevel="2" x14ac:dyDescent="0.2">
      <c r="A966" s="108" t="s">
        <v>824</v>
      </c>
      <c r="B966" s="108"/>
      <c r="C966" s="108"/>
      <c r="D966" s="108"/>
      <c r="E966" s="28" t="s">
        <v>547</v>
      </c>
      <c r="F966" s="29">
        <v>1</v>
      </c>
      <c r="G966" s="30">
        <v>1769.56</v>
      </c>
      <c r="H966" s="49"/>
      <c r="I966" s="30">
        <v>1769.56</v>
      </c>
    </row>
    <row r="967" spans="1:9" s="18" customFormat="1" ht="21.95" hidden="1" customHeight="1" outlineLevel="2" x14ac:dyDescent="0.2">
      <c r="A967" s="108" t="s">
        <v>825</v>
      </c>
      <c r="B967" s="108"/>
      <c r="C967" s="108"/>
      <c r="D967" s="108"/>
      <c r="E967" s="28" t="s">
        <v>547</v>
      </c>
      <c r="F967" s="29">
        <v>26</v>
      </c>
      <c r="G967" s="30">
        <v>1375.92</v>
      </c>
      <c r="H967" s="49"/>
      <c r="I967" s="30">
        <v>1375.92</v>
      </c>
    </row>
    <row r="968" spans="1:9" s="18" customFormat="1" ht="11.1" hidden="1" customHeight="1" outlineLevel="2" x14ac:dyDescent="0.2">
      <c r="A968" s="108" t="s">
        <v>826</v>
      </c>
      <c r="B968" s="108"/>
      <c r="C968" s="108"/>
      <c r="D968" s="108"/>
      <c r="E968" s="28" t="s">
        <v>547</v>
      </c>
      <c r="F968" s="29">
        <v>52</v>
      </c>
      <c r="G968" s="30">
        <v>3759.6</v>
      </c>
      <c r="H968" s="49"/>
      <c r="I968" s="30">
        <v>3759.6</v>
      </c>
    </row>
    <row r="969" spans="1:9" s="18" customFormat="1" ht="11.1" hidden="1" customHeight="1" outlineLevel="2" x14ac:dyDescent="0.2">
      <c r="A969" s="108" t="s">
        <v>827</v>
      </c>
      <c r="B969" s="108"/>
      <c r="C969" s="108"/>
      <c r="D969" s="108"/>
      <c r="E969" s="28" t="s">
        <v>547</v>
      </c>
      <c r="F969" s="29">
        <v>26</v>
      </c>
      <c r="G969" s="30">
        <v>11571.82</v>
      </c>
      <c r="H969" s="49"/>
      <c r="I969" s="30">
        <v>11571.82</v>
      </c>
    </row>
    <row r="970" spans="1:9" s="18" customFormat="1" ht="11.1" hidden="1" customHeight="1" outlineLevel="2" collapsed="1" x14ac:dyDescent="0.2">
      <c r="A970" s="108" t="s">
        <v>828</v>
      </c>
      <c r="B970" s="108"/>
      <c r="C970" s="108"/>
      <c r="D970" s="108"/>
      <c r="E970" s="28" t="s">
        <v>547</v>
      </c>
      <c r="F970" s="29">
        <v>4.0000000000000001E-3</v>
      </c>
      <c r="G970" s="44">
        <v>76.13</v>
      </c>
      <c r="H970" s="49"/>
      <c r="I970" s="44">
        <v>76.13</v>
      </c>
    </row>
    <row r="971" spans="1:9" s="18" customFormat="1" ht="11.1" hidden="1" customHeight="1" outlineLevel="1" collapsed="1" x14ac:dyDescent="0.2">
      <c r="A971" s="107" t="s">
        <v>829</v>
      </c>
      <c r="B971" s="107"/>
      <c r="C971" s="107"/>
      <c r="D971" s="107"/>
      <c r="E971" s="107"/>
      <c r="F971" s="25">
        <v>44</v>
      </c>
      <c r="G971" s="26">
        <v>21595.88</v>
      </c>
      <c r="H971" s="48"/>
      <c r="I971" s="26">
        <v>21595.88</v>
      </c>
    </row>
    <row r="972" spans="1:9" s="18" customFormat="1" ht="11.1" hidden="1" customHeight="1" outlineLevel="2" x14ac:dyDescent="0.2">
      <c r="A972" s="108" t="s">
        <v>830</v>
      </c>
      <c r="B972" s="108"/>
      <c r="C972" s="108"/>
      <c r="D972" s="108"/>
      <c r="E972" s="28" t="s">
        <v>547</v>
      </c>
      <c r="F972" s="29">
        <v>40</v>
      </c>
      <c r="G972" s="30">
        <v>10445.200000000001</v>
      </c>
      <c r="H972" s="49"/>
      <c r="I972" s="30">
        <v>10445.200000000001</v>
      </c>
    </row>
    <row r="973" spans="1:9" s="18" customFormat="1" ht="11.1" hidden="1" customHeight="1" outlineLevel="2" collapsed="1" x14ac:dyDescent="0.2">
      <c r="A973" s="108" t="s">
        <v>831</v>
      </c>
      <c r="B973" s="108"/>
      <c r="C973" s="108"/>
      <c r="D973" s="108"/>
      <c r="E973" s="28" t="s">
        <v>547</v>
      </c>
      <c r="F973" s="29">
        <v>4</v>
      </c>
      <c r="G973" s="30">
        <v>11150.68</v>
      </c>
      <c r="H973" s="49"/>
      <c r="I973" s="30">
        <v>11150.68</v>
      </c>
    </row>
    <row r="974" spans="1:9" s="18" customFormat="1" ht="11.1" hidden="1" customHeight="1" outlineLevel="1" collapsed="1" x14ac:dyDescent="0.2">
      <c r="A974" s="107" t="s">
        <v>832</v>
      </c>
      <c r="B974" s="107"/>
      <c r="C974" s="107"/>
      <c r="D974" s="107"/>
      <c r="E974" s="107"/>
      <c r="F974" s="25">
        <v>32</v>
      </c>
      <c r="G974" s="39">
        <v>138452.29999999999</v>
      </c>
      <c r="H974" s="48"/>
      <c r="I974" s="39">
        <v>138452.29999999999</v>
      </c>
    </row>
    <row r="975" spans="1:9" s="18" customFormat="1" ht="11.1" hidden="1" customHeight="1" outlineLevel="2" x14ac:dyDescent="0.2">
      <c r="A975" s="108" t="s">
        <v>833</v>
      </c>
      <c r="B975" s="108"/>
      <c r="C975" s="108"/>
      <c r="D975" s="108"/>
      <c r="E975" s="28" t="s">
        <v>547</v>
      </c>
      <c r="F975" s="29">
        <v>6</v>
      </c>
      <c r="G975" s="30">
        <v>2709.9</v>
      </c>
      <c r="H975" s="49"/>
      <c r="I975" s="30">
        <v>2709.9</v>
      </c>
    </row>
    <row r="976" spans="1:9" s="18" customFormat="1" ht="11.1" hidden="1" customHeight="1" outlineLevel="2" x14ac:dyDescent="0.2">
      <c r="A976" s="108" t="s">
        <v>834</v>
      </c>
      <c r="B976" s="108"/>
      <c r="C976" s="108"/>
      <c r="D976" s="108"/>
      <c r="E976" s="28" t="s">
        <v>547</v>
      </c>
      <c r="F976" s="29">
        <v>6</v>
      </c>
      <c r="G976" s="30">
        <v>1204.5</v>
      </c>
      <c r="H976" s="49"/>
      <c r="I976" s="30">
        <v>1204.5</v>
      </c>
    </row>
    <row r="977" spans="1:9" s="18" customFormat="1" ht="11.1" hidden="1" customHeight="1" outlineLevel="2" x14ac:dyDescent="0.2">
      <c r="A977" s="108" t="s">
        <v>835</v>
      </c>
      <c r="B977" s="108"/>
      <c r="C977" s="108"/>
      <c r="D977" s="108"/>
      <c r="E977" s="28" t="s">
        <v>547</v>
      </c>
      <c r="F977" s="29">
        <v>10</v>
      </c>
      <c r="G977" s="30">
        <v>106510.1</v>
      </c>
      <c r="H977" s="49"/>
      <c r="I977" s="30">
        <v>106510.1</v>
      </c>
    </row>
    <row r="978" spans="1:9" s="18" customFormat="1" ht="11.1" hidden="1" customHeight="1" outlineLevel="2" collapsed="1" x14ac:dyDescent="0.2">
      <c r="A978" s="108" t="s">
        <v>836</v>
      </c>
      <c r="B978" s="108"/>
      <c r="C978" s="108"/>
      <c r="D978" s="108"/>
      <c r="E978" s="28" t="s">
        <v>547</v>
      </c>
      <c r="F978" s="29">
        <v>10</v>
      </c>
      <c r="G978" s="30">
        <v>28027.8</v>
      </c>
      <c r="H978" s="49"/>
      <c r="I978" s="30">
        <v>28027.8</v>
      </c>
    </row>
    <row r="979" spans="1:9" s="18" customFormat="1" ht="11.1" hidden="1" customHeight="1" outlineLevel="1" collapsed="1" x14ac:dyDescent="0.2">
      <c r="A979" s="107" t="s">
        <v>837</v>
      </c>
      <c r="B979" s="107"/>
      <c r="C979" s="107"/>
      <c r="D979" s="107"/>
      <c r="E979" s="107"/>
      <c r="F979" s="25">
        <v>1</v>
      </c>
      <c r="G979" s="26">
        <v>1655577.87</v>
      </c>
      <c r="H979" s="48"/>
      <c r="I979" s="26">
        <v>1655577.87</v>
      </c>
    </row>
    <row r="980" spans="1:9" s="18" customFormat="1" ht="21.95" hidden="1" customHeight="1" outlineLevel="2" collapsed="1" x14ac:dyDescent="0.2">
      <c r="A980" s="108" t="s">
        <v>838</v>
      </c>
      <c r="B980" s="108"/>
      <c r="C980" s="108"/>
      <c r="D980" s="108"/>
      <c r="E980" s="28" t="s">
        <v>547</v>
      </c>
      <c r="F980" s="29">
        <v>1</v>
      </c>
      <c r="G980" s="30">
        <v>1655577.87</v>
      </c>
      <c r="H980" s="49"/>
      <c r="I980" s="30">
        <v>1655577.87</v>
      </c>
    </row>
    <row r="981" spans="1:9" s="18" customFormat="1" ht="11.1" hidden="1" customHeight="1" outlineLevel="1" collapsed="1" x14ac:dyDescent="0.2">
      <c r="A981" s="107" t="s">
        <v>839</v>
      </c>
      <c r="B981" s="107"/>
      <c r="C981" s="107"/>
      <c r="D981" s="107"/>
      <c r="E981" s="107"/>
      <c r="F981" s="25">
        <v>1</v>
      </c>
      <c r="G981" s="26">
        <v>1655577.87</v>
      </c>
      <c r="H981" s="48"/>
      <c r="I981" s="26">
        <v>1655577.87</v>
      </c>
    </row>
    <row r="982" spans="1:9" s="18" customFormat="1" ht="21.95" hidden="1" customHeight="1" outlineLevel="2" collapsed="1" x14ac:dyDescent="0.2">
      <c r="A982" s="108" t="s">
        <v>838</v>
      </c>
      <c r="B982" s="108"/>
      <c r="C982" s="108"/>
      <c r="D982" s="108"/>
      <c r="E982" s="28" t="s">
        <v>547</v>
      </c>
      <c r="F982" s="29">
        <v>1</v>
      </c>
      <c r="G982" s="30">
        <v>1655577.87</v>
      </c>
      <c r="H982" s="49"/>
      <c r="I982" s="30">
        <v>1655577.87</v>
      </c>
    </row>
    <row r="983" spans="1:9" s="18" customFormat="1" ht="11.1" hidden="1" customHeight="1" outlineLevel="1" collapsed="1" x14ac:dyDescent="0.2">
      <c r="A983" s="107" t="s">
        <v>840</v>
      </c>
      <c r="B983" s="107"/>
      <c r="C983" s="107"/>
      <c r="D983" s="107"/>
      <c r="E983" s="107"/>
      <c r="F983" s="25">
        <v>4</v>
      </c>
      <c r="G983" s="39">
        <v>7146.6</v>
      </c>
      <c r="H983" s="48"/>
      <c r="I983" s="39">
        <v>7146.6</v>
      </c>
    </row>
    <row r="984" spans="1:9" s="18" customFormat="1" ht="11.1" hidden="1" customHeight="1" outlineLevel="2" collapsed="1" x14ac:dyDescent="0.2">
      <c r="A984" s="108" t="s">
        <v>841</v>
      </c>
      <c r="B984" s="108"/>
      <c r="C984" s="108"/>
      <c r="D984" s="108"/>
      <c r="E984" s="28" t="s">
        <v>547</v>
      </c>
      <c r="F984" s="29">
        <v>4</v>
      </c>
      <c r="G984" s="30">
        <v>7146.6</v>
      </c>
      <c r="H984" s="49"/>
      <c r="I984" s="30">
        <v>7146.6</v>
      </c>
    </row>
    <row r="985" spans="1:9" s="18" customFormat="1" ht="11.1" hidden="1" customHeight="1" outlineLevel="1" collapsed="1" x14ac:dyDescent="0.2">
      <c r="A985" s="107" t="s">
        <v>842</v>
      </c>
      <c r="B985" s="107"/>
      <c r="C985" s="107"/>
      <c r="D985" s="107"/>
      <c r="E985" s="107"/>
      <c r="F985" s="25">
        <v>1</v>
      </c>
      <c r="G985" s="26">
        <v>17528.09</v>
      </c>
      <c r="H985" s="48"/>
      <c r="I985" s="26">
        <v>17528.09</v>
      </c>
    </row>
    <row r="986" spans="1:9" s="18" customFormat="1" ht="11.1" hidden="1" customHeight="1" outlineLevel="2" collapsed="1" x14ac:dyDescent="0.2">
      <c r="A986" s="108" t="s">
        <v>843</v>
      </c>
      <c r="B986" s="108"/>
      <c r="C986" s="108"/>
      <c r="D986" s="108"/>
      <c r="E986" s="28" t="s">
        <v>547</v>
      </c>
      <c r="F986" s="29">
        <v>1</v>
      </c>
      <c r="G986" s="30">
        <v>17528.09</v>
      </c>
      <c r="H986" s="49"/>
      <c r="I986" s="30">
        <v>17528.09</v>
      </c>
    </row>
    <row r="987" spans="1:9" s="18" customFormat="1" ht="11.1" hidden="1" customHeight="1" outlineLevel="1" collapsed="1" x14ac:dyDescent="0.2">
      <c r="A987" s="107" t="s">
        <v>844</v>
      </c>
      <c r="B987" s="107"/>
      <c r="C987" s="107"/>
      <c r="D987" s="107"/>
      <c r="E987" s="107"/>
      <c r="F987" s="25">
        <v>1</v>
      </c>
      <c r="G987" s="26">
        <v>17528.09</v>
      </c>
      <c r="H987" s="48"/>
      <c r="I987" s="26">
        <v>17528.09</v>
      </c>
    </row>
    <row r="988" spans="1:9" s="18" customFormat="1" ht="11.1" hidden="1" customHeight="1" outlineLevel="2" collapsed="1" x14ac:dyDescent="0.2">
      <c r="A988" s="108" t="s">
        <v>843</v>
      </c>
      <c r="B988" s="108"/>
      <c r="C988" s="108"/>
      <c r="D988" s="108"/>
      <c r="E988" s="28" t="s">
        <v>547</v>
      </c>
      <c r="F988" s="29">
        <v>1</v>
      </c>
      <c r="G988" s="30">
        <v>17528.09</v>
      </c>
      <c r="H988" s="49"/>
      <c r="I988" s="30">
        <v>17528.09</v>
      </c>
    </row>
    <row r="989" spans="1:9" s="18" customFormat="1" ht="11.1" hidden="1" customHeight="1" outlineLevel="1" collapsed="1" x14ac:dyDescent="0.2">
      <c r="A989" s="107" t="s">
        <v>845</v>
      </c>
      <c r="B989" s="107"/>
      <c r="C989" s="107"/>
      <c r="D989" s="107"/>
      <c r="E989" s="107"/>
      <c r="F989" s="25">
        <v>1</v>
      </c>
      <c r="G989" s="26">
        <v>62506.78</v>
      </c>
      <c r="H989" s="48"/>
      <c r="I989" s="26">
        <v>62506.78</v>
      </c>
    </row>
    <row r="990" spans="1:9" s="18" customFormat="1" ht="11.1" hidden="1" customHeight="1" outlineLevel="2" collapsed="1" x14ac:dyDescent="0.2">
      <c r="A990" s="108" t="s">
        <v>846</v>
      </c>
      <c r="B990" s="108"/>
      <c r="C990" s="108"/>
      <c r="D990" s="108"/>
      <c r="E990" s="28" t="s">
        <v>547</v>
      </c>
      <c r="F990" s="29">
        <v>1</v>
      </c>
      <c r="G990" s="30">
        <v>62506.78</v>
      </c>
      <c r="H990" s="49"/>
      <c r="I990" s="30">
        <v>62506.78</v>
      </c>
    </row>
    <row r="991" spans="1:9" s="18" customFormat="1" ht="11.1" hidden="1" customHeight="1" outlineLevel="1" collapsed="1" x14ac:dyDescent="0.2">
      <c r="A991" s="107" t="s">
        <v>847</v>
      </c>
      <c r="B991" s="107"/>
      <c r="C991" s="107"/>
      <c r="D991" s="107"/>
      <c r="E991" s="107"/>
      <c r="F991" s="25">
        <v>1</v>
      </c>
      <c r="G991" s="26">
        <v>426566.62</v>
      </c>
      <c r="H991" s="48"/>
      <c r="I991" s="26">
        <v>426566.62</v>
      </c>
    </row>
    <row r="992" spans="1:9" s="18" customFormat="1" ht="11.1" hidden="1" customHeight="1" outlineLevel="2" collapsed="1" x14ac:dyDescent="0.2">
      <c r="A992" s="108" t="s">
        <v>848</v>
      </c>
      <c r="B992" s="108"/>
      <c r="C992" s="108"/>
      <c r="D992" s="108"/>
      <c r="E992" s="28" t="s">
        <v>547</v>
      </c>
      <c r="F992" s="29">
        <v>1</v>
      </c>
      <c r="G992" s="30">
        <v>426566.62</v>
      </c>
      <c r="H992" s="49"/>
      <c r="I992" s="30">
        <v>426566.62</v>
      </c>
    </row>
    <row r="993" spans="1:9" s="18" customFormat="1" ht="11.1" hidden="1" customHeight="1" outlineLevel="1" collapsed="1" x14ac:dyDescent="0.2">
      <c r="A993" s="107" t="s">
        <v>849</v>
      </c>
      <c r="B993" s="107"/>
      <c r="C993" s="107"/>
      <c r="D993" s="107"/>
      <c r="E993" s="107"/>
      <c r="F993" s="25">
        <v>2</v>
      </c>
      <c r="G993" s="26">
        <v>5422.34</v>
      </c>
      <c r="H993" s="48"/>
      <c r="I993" s="26">
        <v>5422.34</v>
      </c>
    </row>
    <row r="994" spans="1:9" s="18" customFormat="1" ht="11.1" hidden="1" customHeight="1" outlineLevel="2" collapsed="1" x14ac:dyDescent="0.2">
      <c r="A994" s="108" t="s">
        <v>850</v>
      </c>
      <c r="B994" s="108"/>
      <c r="C994" s="108"/>
      <c r="D994" s="108"/>
      <c r="E994" s="28" t="s">
        <v>547</v>
      </c>
      <c r="F994" s="29">
        <v>2</v>
      </c>
      <c r="G994" s="30">
        <v>5422.34</v>
      </c>
      <c r="H994" s="49"/>
      <c r="I994" s="30">
        <v>5422.34</v>
      </c>
    </row>
    <row r="995" spans="1:9" s="18" customFormat="1" ht="11.1" hidden="1" customHeight="1" outlineLevel="1" collapsed="1" x14ac:dyDescent="0.2">
      <c r="A995" s="107" t="s">
        <v>851</v>
      </c>
      <c r="B995" s="107"/>
      <c r="C995" s="107"/>
      <c r="D995" s="107"/>
      <c r="E995" s="107"/>
      <c r="F995" s="25">
        <v>48</v>
      </c>
      <c r="G995" s="26">
        <v>53298.59</v>
      </c>
      <c r="H995" s="48"/>
      <c r="I995" s="26">
        <v>53298.59</v>
      </c>
    </row>
    <row r="996" spans="1:9" s="18" customFormat="1" ht="11.1" hidden="1" customHeight="1" outlineLevel="2" x14ac:dyDescent="0.2">
      <c r="A996" s="108" t="s">
        <v>852</v>
      </c>
      <c r="B996" s="108"/>
      <c r="C996" s="108"/>
      <c r="D996" s="108"/>
      <c r="E996" s="28" t="s">
        <v>547</v>
      </c>
      <c r="F996" s="29">
        <v>2</v>
      </c>
      <c r="G996" s="30">
        <v>3183.34</v>
      </c>
      <c r="H996" s="49"/>
      <c r="I996" s="30">
        <v>3183.34</v>
      </c>
    </row>
    <row r="997" spans="1:9" s="18" customFormat="1" ht="11.1" hidden="1" customHeight="1" outlineLevel="2" x14ac:dyDescent="0.2">
      <c r="A997" s="108" t="s">
        <v>841</v>
      </c>
      <c r="B997" s="108"/>
      <c r="C997" s="108"/>
      <c r="D997" s="108"/>
      <c r="E997" s="28" t="s">
        <v>547</v>
      </c>
      <c r="F997" s="29">
        <v>5</v>
      </c>
      <c r="G997" s="30">
        <v>9002.9500000000007</v>
      </c>
      <c r="H997" s="49"/>
      <c r="I997" s="30">
        <v>9002.9500000000007</v>
      </c>
    </row>
    <row r="998" spans="1:9" s="18" customFormat="1" ht="11.1" hidden="1" customHeight="1" outlineLevel="2" x14ac:dyDescent="0.2">
      <c r="A998" s="108" t="s">
        <v>853</v>
      </c>
      <c r="B998" s="108"/>
      <c r="C998" s="108"/>
      <c r="D998" s="108"/>
      <c r="E998" s="28" t="s">
        <v>547</v>
      </c>
      <c r="F998" s="29">
        <v>2</v>
      </c>
      <c r="G998" s="44">
        <v>591.67999999999995</v>
      </c>
      <c r="H998" s="49"/>
      <c r="I998" s="44">
        <v>591.67999999999995</v>
      </c>
    </row>
    <row r="999" spans="1:9" s="18" customFormat="1" ht="11.1" hidden="1" customHeight="1" outlineLevel="2" x14ac:dyDescent="0.2">
      <c r="A999" s="108" t="s">
        <v>854</v>
      </c>
      <c r="B999" s="108"/>
      <c r="C999" s="108"/>
      <c r="D999" s="108"/>
      <c r="E999" s="28" t="s">
        <v>547</v>
      </c>
      <c r="F999" s="29">
        <v>2</v>
      </c>
      <c r="G999" s="30">
        <v>2550.4</v>
      </c>
      <c r="H999" s="49"/>
      <c r="I999" s="30">
        <v>2550.4</v>
      </c>
    </row>
    <row r="1000" spans="1:9" s="18" customFormat="1" ht="11.1" hidden="1" customHeight="1" outlineLevel="2" x14ac:dyDescent="0.2">
      <c r="A1000" s="108" t="s">
        <v>855</v>
      </c>
      <c r="B1000" s="108"/>
      <c r="C1000" s="108"/>
      <c r="D1000" s="108"/>
      <c r="E1000" s="28" t="s">
        <v>547</v>
      </c>
      <c r="F1000" s="29">
        <v>5</v>
      </c>
      <c r="G1000" s="30">
        <v>4768</v>
      </c>
      <c r="H1000" s="49"/>
      <c r="I1000" s="30">
        <v>4768</v>
      </c>
    </row>
    <row r="1001" spans="1:9" s="18" customFormat="1" ht="11.1" hidden="1" customHeight="1" outlineLevel="2" x14ac:dyDescent="0.2">
      <c r="A1001" s="108" t="s">
        <v>856</v>
      </c>
      <c r="B1001" s="108"/>
      <c r="C1001" s="108"/>
      <c r="D1001" s="108"/>
      <c r="E1001" s="28" t="s">
        <v>547</v>
      </c>
      <c r="F1001" s="29">
        <v>15</v>
      </c>
      <c r="G1001" s="30">
        <v>7912.35</v>
      </c>
      <c r="H1001" s="49"/>
      <c r="I1001" s="30">
        <v>7912.35</v>
      </c>
    </row>
    <row r="1002" spans="1:9" s="18" customFormat="1" ht="21.95" hidden="1" customHeight="1" outlineLevel="2" x14ac:dyDescent="0.2">
      <c r="A1002" s="108" t="s">
        <v>857</v>
      </c>
      <c r="B1002" s="108"/>
      <c r="C1002" s="108"/>
      <c r="D1002" s="108"/>
      <c r="E1002" s="28" t="s">
        <v>547</v>
      </c>
      <c r="F1002" s="29">
        <v>10</v>
      </c>
      <c r="G1002" s="30">
        <v>9239.2000000000007</v>
      </c>
      <c r="H1002" s="49"/>
      <c r="I1002" s="30">
        <v>9239.2000000000007</v>
      </c>
    </row>
    <row r="1003" spans="1:9" s="18" customFormat="1" ht="11.1" hidden="1" customHeight="1" outlineLevel="2" x14ac:dyDescent="0.2">
      <c r="A1003" s="108" t="s">
        <v>858</v>
      </c>
      <c r="B1003" s="108"/>
      <c r="C1003" s="108"/>
      <c r="D1003" s="108"/>
      <c r="E1003" s="28" t="s">
        <v>547</v>
      </c>
      <c r="F1003" s="29">
        <v>5</v>
      </c>
      <c r="G1003" s="30">
        <v>14203.95</v>
      </c>
      <c r="H1003" s="49"/>
      <c r="I1003" s="30">
        <v>14203.95</v>
      </c>
    </row>
    <row r="1004" spans="1:9" s="18" customFormat="1" ht="11.1" hidden="1" customHeight="1" outlineLevel="2" collapsed="1" x14ac:dyDescent="0.2">
      <c r="A1004" s="108" t="s">
        <v>859</v>
      </c>
      <c r="B1004" s="108"/>
      <c r="C1004" s="108"/>
      <c r="D1004" s="108"/>
      <c r="E1004" s="28" t="s">
        <v>547</v>
      </c>
      <c r="F1004" s="29">
        <v>2</v>
      </c>
      <c r="G1004" s="30">
        <v>1846.72</v>
      </c>
      <c r="H1004" s="49"/>
      <c r="I1004" s="30">
        <v>1846.72</v>
      </c>
    </row>
    <row r="1005" spans="1:9" s="18" customFormat="1" ht="11.1" hidden="1" customHeight="1" outlineLevel="1" collapsed="1" x14ac:dyDescent="0.2">
      <c r="A1005" s="107" t="s">
        <v>860</v>
      </c>
      <c r="B1005" s="107"/>
      <c r="C1005" s="107"/>
      <c r="D1005" s="107"/>
      <c r="E1005" s="107"/>
      <c r="F1005" s="25">
        <v>24</v>
      </c>
      <c r="G1005" s="26">
        <v>28557.87</v>
      </c>
      <c r="H1005" s="48"/>
      <c r="I1005" s="26">
        <v>28557.87</v>
      </c>
    </row>
    <row r="1006" spans="1:9" s="18" customFormat="1" ht="11.1" hidden="1" customHeight="1" outlineLevel="2" x14ac:dyDescent="0.2">
      <c r="A1006" s="108" t="s">
        <v>861</v>
      </c>
      <c r="B1006" s="108"/>
      <c r="C1006" s="108"/>
      <c r="D1006" s="108"/>
      <c r="E1006" s="28" t="s">
        <v>547</v>
      </c>
      <c r="F1006" s="29">
        <v>1</v>
      </c>
      <c r="G1006" s="30">
        <v>3652.06</v>
      </c>
      <c r="H1006" s="49"/>
      <c r="I1006" s="30">
        <v>3652.06</v>
      </c>
    </row>
    <row r="1007" spans="1:9" s="18" customFormat="1" ht="11.1" hidden="1" customHeight="1" outlineLevel="2" x14ac:dyDescent="0.2">
      <c r="A1007" s="108" t="s">
        <v>862</v>
      </c>
      <c r="B1007" s="108"/>
      <c r="C1007" s="108"/>
      <c r="D1007" s="108"/>
      <c r="E1007" s="28" t="s">
        <v>547</v>
      </c>
      <c r="F1007" s="29">
        <v>2</v>
      </c>
      <c r="G1007" s="44">
        <v>309.27999999999997</v>
      </c>
      <c r="H1007" s="49"/>
      <c r="I1007" s="44">
        <v>309.27999999999997</v>
      </c>
    </row>
    <row r="1008" spans="1:9" s="18" customFormat="1" ht="11.1" hidden="1" customHeight="1" outlineLevel="2" x14ac:dyDescent="0.2">
      <c r="A1008" s="108" t="s">
        <v>863</v>
      </c>
      <c r="B1008" s="108"/>
      <c r="C1008" s="108"/>
      <c r="D1008" s="108"/>
      <c r="E1008" s="28" t="s">
        <v>547</v>
      </c>
      <c r="F1008" s="29">
        <v>1</v>
      </c>
      <c r="G1008" s="30">
        <v>11892.41</v>
      </c>
      <c r="H1008" s="49"/>
      <c r="I1008" s="30">
        <v>11892.41</v>
      </c>
    </row>
    <row r="1009" spans="1:9" s="18" customFormat="1" ht="11.1" hidden="1" customHeight="1" outlineLevel="2" x14ac:dyDescent="0.2">
      <c r="A1009" s="108" t="s">
        <v>864</v>
      </c>
      <c r="B1009" s="108"/>
      <c r="C1009" s="108"/>
      <c r="D1009" s="108"/>
      <c r="E1009" s="28" t="s">
        <v>547</v>
      </c>
      <c r="F1009" s="29">
        <v>1</v>
      </c>
      <c r="G1009" s="30">
        <v>2728.48</v>
      </c>
      <c r="H1009" s="49"/>
      <c r="I1009" s="30">
        <v>2728.48</v>
      </c>
    </row>
    <row r="1010" spans="1:9" s="18" customFormat="1" ht="11.1" hidden="1" customHeight="1" outlineLevel="2" x14ac:dyDescent="0.2">
      <c r="A1010" s="108" t="s">
        <v>865</v>
      </c>
      <c r="B1010" s="108"/>
      <c r="C1010" s="108"/>
      <c r="D1010" s="108"/>
      <c r="E1010" s="28" t="s">
        <v>547</v>
      </c>
      <c r="F1010" s="29">
        <v>6</v>
      </c>
      <c r="G1010" s="44">
        <v>228.06</v>
      </c>
      <c r="H1010" s="49"/>
      <c r="I1010" s="44">
        <v>228.06</v>
      </c>
    </row>
    <row r="1011" spans="1:9" s="18" customFormat="1" ht="11.1" hidden="1" customHeight="1" outlineLevel="2" x14ac:dyDescent="0.2">
      <c r="A1011" s="108" t="s">
        <v>866</v>
      </c>
      <c r="B1011" s="108"/>
      <c r="C1011" s="108"/>
      <c r="D1011" s="108"/>
      <c r="E1011" s="28" t="s">
        <v>547</v>
      </c>
      <c r="F1011" s="29">
        <v>2</v>
      </c>
      <c r="G1011" s="44">
        <v>110.06</v>
      </c>
      <c r="H1011" s="49"/>
      <c r="I1011" s="44">
        <v>110.06</v>
      </c>
    </row>
    <row r="1012" spans="1:9" s="18" customFormat="1" ht="11.1" hidden="1" customHeight="1" outlineLevel="2" x14ac:dyDescent="0.2">
      <c r="A1012" s="108" t="s">
        <v>867</v>
      </c>
      <c r="B1012" s="108"/>
      <c r="C1012" s="108"/>
      <c r="D1012" s="108"/>
      <c r="E1012" s="28" t="s">
        <v>547</v>
      </c>
      <c r="F1012" s="29">
        <v>2</v>
      </c>
      <c r="G1012" s="30">
        <v>1062.9000000000001</v>
      </c>
      <c r="H1012" s="49"/>
      <c r="I1012" s="30">
        <v>1062.9000000000001</v>
      </c>
    </row>
    <row r="1013" spans="1:9" s="18" customFormat="1" ht="11.1" hidden="1" customHeight="1" outlineLevel="2" x14ac:dyDescent="0.2">
      <c r="A1013" s="108" t="s">
        <v>868</v>
      </c>
      <c r="B1013" s="108"/>
      <c r="C1013" s="108"/>
      <c r="D1013" s="108"/>
      <c r="E1013" s="28" t="s">
        <v>547</v>
      </c>
      <c r="F1013" s="29">
        <v>2</v>
      </c>
      <c r="G1013" s="44">
        <v>180.48</v>
      </c>
      <c r="H1013" s="49"/>
      <c r="I1013" s="44">
        <v>180.48</v>
      </c>
    </row>
    <row r="1014" spans="1:9" s="18" customFormat="1" ht="11.1" hidden="1" customHeight="1" outlineLevel="2" x14ac:dyDescent="0.2">
      <c r="A1014" s="108" t="s">
        <v>869</v>
      </c>
      <c r="B1014" s="108"/>
      <c r="C1014" s="108"/>
      <c r="D1014" s="108"/>
      <c r="E1014" s="28" t="s">
        <v>547</v>
      </c>
      <c r="F1014" s="29">
        <v>1</v>
      </c>
      <c r="G1014" s="44">
        <v>596.72</v>
      </c>
      <c r="H1014" s="49"/>
      <c r="I1014" s="44">
        <v>596.72</v>
      </c>
    </row>
    <row r="1015" spans="1:9" s="18" customFormat="1" ht="11.1" hidden="1" customHeight="1" outlineLevel="2" x14ac:dyDescent="0.2">
      <c r="A1015" s="108" t="s">
        <v>870</v>
      </c>
      <c r="B1015" s="108"/>
      <c r="C1015" s="108"/>
      <c r="D1015" s="108"/>
      <c r="E1015" s="28" t="s">
        <v>547</v>
      </c>
      <c r="F1015" s="29">
        <v>1</v>
      </c>
      <c r="G1015" s="44">
        <v>920.47</v>
      </c>
      <c r="H1015" s="49"/>
      <c r="I1015" s="44">
        <v>920.47</v>
      </c>
    </row>
    <row r="1016" spans="1:9" s="18" customFormat="1" ht="11.1" hidden="1" customHeight="1" outlineLevel="2" x14ac:dyDescent="0.2">
      <c r="A1016" s="108" t="s">
        <v>871</v>
      </c>
      <c r="B1016" s="108"/>
      <c r="C1016" s="108"/>
      <c r="D1016" s="108"/>
      <c r="E1016" s="28" t="s">
        <v>547</v>
      </c>
      <c r="F1016" s="29">
        <v>1</v>
      </c>
      <c r="G1016" s="30">
        <v>1526.26</v>
      </c>
      <c r="H1016" s="49"/>
      <c r="I1016" s="30">
        <v>1526.26</v>
      </c>
    </row>
    <row r="1017" spans="1:9" s="18" customFormat="1" ht="11.1" hidden="1" customHeight="1" outlineLevel="2" x14ac:dyDescent="0.2">
      <c r="A1017" s="108" t="s">
        <v>872</v>
      </c>
      <c r="B1017" s="108"/>
      <c r="C1017" s="108"/>
      <c r="D1017" s="108"/>
      <c r="E1017" s="28" t="s">
        <v>547</v>
      </c>
      <c r="F1017" s="29">
        <v>1</v>
      </c>
      <c r="G1017" s="30">
        <v>1526.26</v>
      </c>
      <c r="H1017" s="49"/>
      <c r="I1017" s="30">
        <v>1526.26</v>
      </c>
    </row>
    <row r="1018" spans="1:9" s="18" customFormat="1" ht="11.1" hidden="1" customHeight="1" outlineLevel="2" x14ac:dyDescent="0.2">
      <c r="A1018" s="108" t="s">
        <v>873</v>
      </c>
      <c r="B1018" s="108"/>
      <c r="C1018" s="108"/>
      <c r="D1018" s="108"/>
      <c r="E1018" s="28" t="s">
        <v>547</v>
      </c>
      <c r="F1018" s="29">
        <v>1</v>
      </c>
      <c r="G1018" s="30">
        <v>1431.27</v>
      </c>
      <c r="H1018" s="49"/>
      <c r="I1018" s="30">
        <v>1431.27</v>
      </c>
    </row>
    <row r="1019" spans="1:9" s="18" customFormat="1" ht="11.1" hidden="1" customHeight="1" outlineLevel="2" x14ac:dyDescent="0.2">
      <c r="A1019" s="108" t="s">
        <v>824</v>
      </c>
      <c r="B1019" s="108"/>
      <c r="C1019" s="108"/>
      <c r="D1019" s="108"/>
      <c r="E1019" s="28" t="s">
        <v>547</v>
      </c>
      <c r="F1019" s="29">
        <v>1</v>
      </c>
      <c r="G1019" s="30">
        <v>1833.16</v>
      </c>
      <c r="H1019" s="49"/>
      <c r="I1019" s="30">
        <v>1833.16</v>
      </c>
    </row>
    <row r="1020" spans="1:9" s="18" customFormat="1" ht="21.95" hidden="1" customHeight="1" outlineLevel="2" collapsed="1" x14ac:dyDescent="0.2">
      <c r="A1020" s="108" t="s">
        <v>874</v>
      </c>
      <c r="B1020" s="108"/>
      <c r="C1020" s="108"/>
      <c r="D1020" s="108"/>
      <c r="E1020" s="28" t="s">
        <v>547</v>
      </c>
      <c r="F1020" s="29">
        <v>1</v>
      </c>
      <c r="G1020" s="44">
        <v>560</v>
      </c>
      <c r="H1020" s="49"/>
      <c r="I1020" s="44">
        <v>560</v>
      </c>
    </row>
    <row r="1021" spans="1:9" s="18" customFormat="1" ht="11.1" hidden="1" customHeight="1" outlineLevel="1" collapsed="1" x14ac:dyDescent="0.2">
      <c r="A1021" s="107" t="s">
        <v>875</v>
      </c>
      <c r="B1021" s="107"/>
      <c r="C1021" s="107"/>
      <c r="D1021" s="107"/>
      <c r="E1021" s="107"/>
      <c r="F1021" s="25">
        <v>5</v>
      </c>
      <c r="G1021" s="39">
        <v>328619.7</v>
      </c>
      <c r="H1021" s="48"/>
      <c r="I1021" s="39">
        <v>328619.7</v>
      </c>
    </row>
    <row r="1022" spans="1:9" s="18" customFormat="1" ht="11.1" hidden="1" customHeight="1" outlineLevel="2" collapsed="1" x14ac:dyDescent="0.2">
      <c r="A1022" s="108" t="s">
        <v>876</v>
      </c>
      <c r="B1022" s="108"/>
      <c r="C1022" s="108"/>
      <c r="D1022" s="108"/>
      <c r="E1022" s="28" t="s">
        <v>547</v>
      </c>
      <c r="F1022" s="29">
        <v>5</v>
      </c>
      <c r="G1022" s="30">
        <v>328619.7</v>
      </c>
      <c r="H1022" s="49"/>
      <c r="I1022" s="30">
        <v>328619.7</v>
      </c>
    </row>
    <row r="1023" spans="1:9" s="18" customFormat="1" ht="11.1" hidden="1" customHeight="1" outlineLevel="1" collapsed="1" x14ac:dyDescent="0.2">
      <c r="A1023" s="107" t="s">
        <v>877</v>
      </c>
      <c r="B1023" s="107"/>
      <c r="C1023" s="107"/>
      <c r="D1023" s="107"/>
      <c r="E1023" s="107"/>
      <c r="F1023" s="25">
        <v>4</v>
      </c>
      <c r="G1023" s="26">
        <v>38542.959999999999</v>
      </c>
      <c r="H1023" s="48"/>
      <c r="I1023" s="26">
        <v>38542.959999999999</v>
      </c>
    </row>
    <row r="1024" spans="1:9" s="18" customFormat="1" ht="11.1" hidden="1" customHeight="1" outlineLevel="2" collapsed="1" x14ac:dyDescent="0.2">
      <c r="A1024" s="108" t="s">
        <v>878</v>
      </c>
      <c r="B1024" s="108"/>
      <c r="C1024" s="108"/>
      <c r="D1024" s="108"/>
      <c r="E1024" s="28" t="s">
        <v>547</v>
      </c>
      <c r="F1024" s="29">
        <v>4</v>
      </c>
      <c r="G1024" s="30">
        <v>38542.959999999999</v>
      </c>
      <c r="H1024" s="49"/>
      <c r="I1024" s="30">
        <v>38542.959999999999</v>
      </c>
    </row>
    <row r="1025" spans="1:9" s="18" customFormat="1" ht="11.1" hidden="1" customHeight="1" outlineLevel="1" collapsed="1" x14ac:dyDescent="0.2">
      <c r="A1025" s="107" t="s">
        <v>879</v>
      </c>
      <c r="B1025" s="107"/>
      <c r="C1025" s="107"/>
      <c r="D1025" s="107"/>
      <c r="E1025" s="107"/>
      <c r="F1025" s="25">
        <v>8</v>
      </c>
      <c r="G1025" s="26">
        <v>69926.42</v>
      </c>
      <c r="H1025" s="48"/>
      <c r="I1025" s="26">
        <v>69926.42</v>
      </c>
    </row>
    <row r="1026" spans="1:9" s="18" customFormat="1" ht="11.1" hidden="1" customHeight="1" outlineLevel="2" x14ac:dyDescent="0.2">
      <c r="A1026" s="108" t="s">
        <v>880</v>
      </c>
      <c r="B1026" s="108"/>
      <c r="C1026" s="108"/>
      <c r="D1026" s="108"/>
      <c r="E1026" s="28" t="s">
        <v>547</v>
      </c>
      <c r="F1026" s="29">
        <v>3</v>
      </c>
      <c r="G1026" s="30">
        <v>36429.300000000003</v>
      </c>
      <c r="H1026" s="49"/>
      <c r="I1026" s="30">
        <v>36429.300000000003</v>
      </c>
    </row>
    <row r="1027" spans="1:9" s="18" customFormat="1" ht="21.95" hidden="1" customHeight="1" outlineLevel="2" x14ac:dyDescent="0.2">
      <c r="A1027" s="108" t="s">
        <v>821</v>
      </c>
      <c r="B1027" s="108"/>
      <c r="C1027" s="108"/>
      <c r="D1027" s="108"/>
      <c r="E1027" s="28" t="s">
        <v>547</v>
      </c>
      <c r="F1027" s="29">
        <v>2</v>
      </c>
      <c r="G1027" s="44">
        <v>774.24</v>
      </c>
      <c r="H1027" s="49"/>
      <c r="I1027" s="44">
        <v>774.24</v>
      </c>
    </row>
    <row r="1028" spans="1:9" s="18" customFormat="1" ht="11.1" hidden="1" customHeight="1" outlineLevel="2" x14ac:dyDescent="0.2">
      <c r="A1028" s="108" t="s">
        <v>881</v>
      </c>
      <c r="B1028" s="108"/>
      <c r="C1028" s="108"/>
      <c r="D1028" s="108"/>
      <c r="E1028" s="28" t="s">
        <v>547</v>
      </c>
      <c r="F1028" s="29">
        <v>2</v>
      </c>
      <c r="G1028" s="30">
        <v>21788.34</v>
      </c>
      <c r="H1028" s="49"/>
      <c r="I1028" s="30">
        <v>21788.34</v>
      </c>
    </row>
    <row r="1029" spans="1:9" s="18" customFormat="1" ht="11.1" hidden="1" customHeight="1" outlineLevel="2" collapsed="1" x14ac:dyDescent="0.2">
      <c r="A1029" s="108" t="s">
        <v>881</v>
      </c>
      <c r="B1029" s="108"/>
      <c r="C1029" s="108"/>
      <c r="D1029" s="108"/>
      <c r="E1029" s="28" t="s">
        <v>547</v>
      </c>
      <c r="F1029" s="29">
        <v>1</v>
      </c>
      <c r="G1029" s="30">
        <v>10934.54</v>
      </c>
      <c r="H1029" s="49"/>
      <c r="I1029" s="30">
        <v>10934.54</v>
      </c>
    </row>
    <row r="1030" spans="1:9" s="18" customFormat="1" ht="11.1" hidden="1" customHeight="1" outlineLevel="1" collapsed="1" x14ac:dyDescent="0.2">
      <c r="A1030" s="107" t="s">
        <v>882</v>
      </c>
      <c r="B1030" s="107"/>
      <c r="C1030" s="107"/>
      <c r="D1030" s="107"/>
      <c r="E1030" s="107"/>
      <c r="F1030" s="25">
        <v>1</v>
      </c>
      <c r="G1030" s="26">
        <v>1313.92</v>
      </c>
      <c r="H1030" s="48"/>
      <c r="I1030" s="26">
        <v>1313.92</v>
      </c>
    </row>
    <row r="1031" spans="1:9" s="18" customFormat="1" ht="11.1" hidden="1" customHeight="1" outlineLevel="2" collapsed="1" x14ac:dyDescent="0.2">
      <c r="A1031" s="108" t="s">
        <v>883</v>
      </c>
      <c r="B1031" s="108"/>
      <c r="C1031" s="108"/>
      <c r="D1031" s="108"/>
      <c r="E1031" s="28" t="s">
        <v>547</v>
      </c>
      <c r="F1031" s="29">
        <v>1</v>
      </c>
      <c r="G1031" s="30">
        <v>1313.92</v>
      </c>
      <c r="H1031" s="49"/>
      <c r="I1031" s="30">
        <v>1313.92</v>
      </c>
    </row>
    <row r="1032" spans="1:9" s="18" customFormat="1" ht="11.1" hidden="1" customHeight="1" outlineLevel="1" collapsed="1" x14ac:dyDescent="0.2">
      <c r="A1032" s="107" t="s">
        <v>884</v>
      </c>
      <c r="B1032" s="107"/>
      <c r="C1032" s="107"/>
      <c r="D1032" s="107"/>
      <c r="E1032" s="107"/>
      <c r="F1032" s="25">
        <v>69</v>
      </c>
      <c r="G1032" s="26">
        <v>58264.54</v>
      </c>
      <c r="H1032" s="48"/>
      <c r="I1032" s="26">
        <v>58264.54</v>
      </c>
    </row>
    <row r="1033" spans="1:9" s="18" customFormat="1" ht="11.1" hidden="1" customHeight="1" outlineLevel="2" x14ac:dyDescent="0.2">
      <c r="A1033" s="108" t="s">
        <v>885</v>
      </c>
      <c r="B1033" s="108"/>
      <c r="C1033" s="108"/>
      <c r="D1033" s="108"/>
      <c r="E1033" s="28" t="s">
        <v>547</v>
      </c>
      <c r="F1033" s="29">
        <v>1</v>
      </c>
      <c r="G1033" s="30">
        <v>3074.83</v>
      </c>
      <c r="H1033" s="49"/>
      <c r="I1033" s="30">
        <v>3074.83</v>
      </c>
    </row>
    <row r="1034" spans="1:9" s="18" customFormat="1" ht="11.1" hidden="1" customHeight="1" outlineLevel="2" x14ac:dyDescent="0.2">
      <c r="A1034" s="108" t="s">
        <v>364</v>
      </c>
      <c r="B1034" s="108"/>
      <c r="C1034" s="108"/>
      <c r="D1034" s="108"/>
      <c r="E1034" s="28" t="s">
        <v>547</v>
      </c>
      <c r="F1034" s="29">
        <v>1</v>
      </c>
      <c r="G1034" s="30">
        <v>4117.03</v>
      </c>
      <c r="H1034" s="49"/>
      <c r="I1034" s="30">
        <v>4117.03</v>
      </c>
    </row>
    <row r="1035" spans="1:9" s="18" customFormat="1" ht="11.1" hidden="1" customHeight="1" outlineLevel="2" x14ac:dyDescent="0.2">
      <c r="A1035" s="108" t="s">
        <v>286</v>
      </c>
      <c r="B1035" s="108"/>
      <c r="C1035" s="108"/>
      <c r="D1035" s="108"/>
      <c r="E1035" s="28" t="s">
        <v>547</v>
      </c>
      <c r="F1035" s="29">
        <v>5</v>
      </c>
      <c r="G1035" s="30">
        <v>3948.35</v>
      </c>
      <c r="H1035" s="49"/>
      <c r="I1035" s="30">
        <v>3948.35</v>
      </c>
    </row>
    <row r="1036" spans="1:9" s="18" customFormat="1" ht="11.1" hidden="1" customHeight="1" outlineLevel="2" x14ac:dyDescent="0.2">
      <c r="A1036" s="108" t="s">
        <v>329</v>
      </c>
      <c r="B1036" s="108"/>
      <c r="C1036" s="108"/>
      <c r="D1036" s="108"/>
      <c r="E1036" s="28" t="s">
        <v>547</v>
      </c>
      <c r="F1036" s="29">
        <v>4</v>
      </c>
      <c r="G1036" s="30">
        <v>13160.84</v>
      </c>
      <c r="H1036" s="49"/>
      <c r="I1036" s="30">
        <v>13160.84</v>
      </c>
    </row>
    <row r="1037" spans="1:9" s="18" customFormat="1" ht="11.1" hidden="1" customHeight="1" outlineLevel="2" x14ac:dyDescent="0.2">
      <c r="A1037" s="108" t="s">
        <v>886</v>
      </c>
      <c r="B1037" s="108"/>
      <c r="C1037" s="108"/>
      <c r="D1037" s="108"/>
      <c r="E1037" s="28" t="s">
        <v>547</v>
      </c>
      <c r="F1037" s="29">
        <v>5</v>
      </c>
      <c r="G1037" s="44">
        <v>518.75</v>
      </c>
      <c r="H1037" s="49"/>
      <c r="I1037" s="44">
        <v>518.75</v>
      </c>
    </row>
    <row r="1038" spans="1:9" s="18" customFormat="1" ht="11.1" hidden="1" customHeight="1" outlineLevel="2" x14ac:dyDescent="0.2">
      <c r="A1038" s="108" t="s">
        <v>886</v>
      </c>
      <c r="B1038" s="108"/>
      <c r="C1038" s="108"/>
      <c r="D1038" s="108"/>
      <c r="E1038" s="28" t="s">
        <v>547</v>
      </c>
      <c r="F1038" s="29">
        <v>1</v>
      </c>
      <c r="G1038" s="44">
        <v>106.71</v>
      </c>
      <c r="H1038" s="49"/>
      <c r="I1038" s="44">
        <v>106.71</v>
      </c>
    </row>
    <row r="1039" spans="1:9" s="18" customFormat="1" ht="11.1" hidden="1" customHeight="1" outlineLevel="2" x14ac:dyDescent="0.2">
      <c r="A1039" s="108" t="s">
        <v>463</v>
      </c>
      <c r="B1039" s="108"/>
      <c r="C1039" s="108"/>
      <c r="D1039" s="108"/>
      <c r="E1039" s="28" t="s">
        <v>547</v>
      </c>
      <c r="F1039" s="29">
        <v>1</v>
      </c>
      <c r="G1039" s="30">
        <v>1412.71</v>
      </c>
      <c r="H1039" s="49"/>
      <c r="I1039" s="30">
        <v>1412.71</v>
      </c>
    </row>
    <row r="1040" spans="1:9" s="18" customFormat="1" ht="11.1" hidden="1" customHeight="1" outlineLevel="2" x14ac:dyDescent="0.2">
      <c r="A1040" s="108" t="s">
        <v>463</v>
      </c>
      <c r="B1040" s="108"/>
      <c r="C1040" s="108"/>
      <c r="D1040" s="108"/>
      <c r="E1040" s="28" t="s">
        <v>547</v>
      </c>
      <c r="F1040" s="29">
        <v>1</v>
      </c>
      <c r="G1040" s="30">
        <v>1287.47</v>
      </c>
      <c r="H1040" s="49"/>
      <c r="I1040" s="30">
        <v>1287.47</v>
      </c>
    </row>
    <row r="1041" spans="1:9" s="18" customFormat="1" ht="11.1" hidden="1" customHeight="1" outlineLevel="2" x14ac:dyDescent="0.2">
      <c r="A1041" s="108" t="s">
        <v>463</v>
      </c>
      <c r="B1041" s="108"/>
      <c r="C1041" s="108"/>
      <c r="D1041" s="108"/>
      <c r="E1041" s="28" t="s">
        <v>547</v>
      </c>
      <c r="F1041" s="29">
        <v>4</v>
      </c>
      <c r="G1041" s="30">
        <v>4797.5600000000004</v>
      </c>
      <c r="H1041" s="49"/>
      <c r="I1041" s="30">
        <v>4797.5600000000004</v>
      </c>
    </row>
    <row r="1042" spans="1:9" s="18" customFormat="1" ht="11.1" hidden="1" customHeight="1" outlineLevel="2" x14ac:dyDescent="0.2">
      <c r="A1042" s="108" t="s">
        <v>887</v>
      </c>
      <c r="B1042" s="108"/>
      <c r="C1042" s="108"/>
      <c r="D1042" s="108"/>
      <c r="E1042" s="28" t="s">
        <v>547</v>
      </c>
      <c r="F1042" s="29">
        <v>9</v>
      </c>
      <c r="G1042" s="30">
        <v>3435.21</v>
      </c>
      <c r="H1042" s="49"/>
      <c r="I1042" s="30">
        <v>3435.21</v>
      </c>
    </row>
    <row r="1043" spans="1:9" s="18" customFormat="1" ht="11.1" hidden="1" customHeight="1" outlineLevel="2" x14ac:dyDescent="0.2">
      <c r="A1043" s="108" t="s">
        <v>885</v>
      </c>
      <c r="B1043" s="108"/>
      <c r="C1043" s="108"/>
      <c r="D1043" s="108"/>
      <c r="E1043" s="28" t="s">
        <v>547</v>
      </c>
      <c r="F1043" s="29">
        <v>2</v>
      </c>
      <c r="G1043" s="30">
        <v>4533.08</v>
      </c>
      <c r="H1043" s="49"/>
      <c r="I1043" s="30">
        <v>4533.08</v>
      </c>
    </row>
    <row r="1044" spans="1:9" s="18" customFormat="1" ht="11.1" hidden="1" customHeight="1" outlineLevel="2" x14ac:dyDescent="0.2">
      <c r="A1044" s="108" t="s">
        <v>888</v>
      </c>
      <c r="B1044" s="108"/>
      <c r="C1044" s="108"/>
      <c r="D1044" s="108"/>
      <c r="E1044" s="28" t="s">
        <v>547</v>
      </c>
      <c r="F1044" s="29">
        <v>9</v>
      </c>
      <c r="G1044" s="30">
        <v>3585.6</v>
      </c>
      <c r="H1044" s="49"/>
      <c r="I1044" s="30">
        <v>3585.6</v>
      </c>
    </row>
    <row r="1045" spans="1:9" s="18" customFormat="1" ht="11.1" hidden="1" customHeight="1" outlineLevel="2" x14ac:dyDescent="0.2">
      <c r="A1045" s="108" t="s">
        <v>286</v>
      </c>
      <c r="B1045" s="108"/>
      <c r="C1045" s="108"/>
      <c r="D1045" s="108"/>
      <c r="E1045" s="28" t="s">
        <v>547</v>
      </c>
      <c r="F1045" s="29">
        <v>1</v>
      </c>
      <c r="G1045" s="44">
        <v>789.68</v>
      </c>
      <c r="H1045" s="49"/>
      <c r="I1045" s="44">
        <v>789.68</v>
      </c>
    </row>
    <row r="1046" spans="1:9" s="18" customFormat="1" ht="11.1" hidden="1" customHeight="1" outlineLevel="2" x14ac:dyDescent="0.2">
      <c r="A1046" s="108" t="s">
        <v>889</v>
      </c>
      <c r="B1046" s="108"/>
      <c r="C1046" s="108"/>
      <c r="D1046" s="108"/>
      <c r="E1046" s="28" t="s">
        <v>547</v>
      </c>
      <c r="F1046" s="29">
        <v>2</v>
      </c>
      <c r="G1046" s="30">
        <v>7440.78</v>
      </c>
      <c r="H1046" s="49"/>
      <c r="I1046" s="30">
        <v>7440.78</v>
      </c>
    </row>
    <row r="1047" spans="1:9" s="18" customFormat="1" ht="11.1" hidden="1" customHeight="1" outlineLevel="2" x14ac:dyDescent="0.2">
      <c r="A1047" s="108" t="s">
        <v>890</v>
      </c>
      <c r="B1047" s="108"/>
      <c r="C1047" s="108"/>
      <c r="D1047" s="108"/>
      <c r="E1047" s="28" t="s">
        <v>547</v>
      </c>
      <c r="F1047" s="29">
        <v>2</v>
      </c>
      <c r="G1047" s="30">
        <v>4616.92</v>
      </c>
      <c r="H1047" s="49"/>
      <c r="I1047" s="30">
        <v>4616.92</v>
      </c>
    </row>
    <row r="1048" spans="1:9" s="18" customFormat="1" ht="11.1" hidden="1" customHeight="1" outlineLevel="2" x14ac:dyDescent="0.2">
      <c r="A1048" s="108" t="s">
        <v>891</v>
      </c>
      <c r="B1048" s="108"/>
      <c r="C1048" s="108"/>
      <c r="D1048" s="108"/>
      <c r="E1048" s="28" t="s">
        <v>547</v>
      </c>
      <c r="F1048" s="29">
        <v>10</v>
      </c>
      <c r="G1048" s="44">
        <v>612.70000000000005</v>
      </c>
      <c r="H1048" s="49"/>
      <c r="I1048" s="44">
        <v>612.70000000000005</v>
      </c>
    </row>
    <row r="1049" spans="1:9" s="18" customFormat="1" ht="11.1" hidden="1" customHeight="1" outlineLevel="2" collapsed="1" x14ac:dyDescent="0.2">
      <c r="A1049" s="108" t="s">
        <v>892</v>
      </c>
      <c r="B1049" s="108"/>
      <c r="C1049" s="108"/>
      <c r="D1049" s="108"/>
      <c r="E1049" s="28" t="s">
        <v>547</v>
      </c>
      <c r="F1049" s="29">
        <v>11</v>
      </c>
      <c r="G1049" s="44">
        <v>826.32</v>
      </c>
      <c r="H1049" s="49"/>
      <c r="I1049" s="44">
        <v>826.32</v>
      </c>
    </row>
    <row r="1050" spans="1:9" s="18" customFormat="1" ht="11.1" hidden="1" customHeight="1" outlineLevel="1" collapsed="1" x14ac:dyDescent="0.2">
      <c r="A1050" s="107" t="s">
        <v>893</v>
      </c>
      <c r="B1050" s="107"/>
      <c r="C1050" s="107"/>
      <c r="D1050" s="107"/>
      <c r="E1050" s="107"/>
      <c r="F1050" s="25">
        <v>11</v>
      </c>
      <c r="G1050" s="26">
        <v>39734.26</v>
      </c>
      <c r="H1050" s="48"/>
      <c r="I1050" s="26">
        <v>39734.26</v>
      </c>
    </row>
    <row r="1051" spans="1:9" s="18" customFormat="1" ht="11.1" hidden="1" customHeight="1" outlineLevel="2" x14ac:dyDescent="0.2">
      <c r="A1051" s="108" t="s">
        <v>894</v>
      </c>
      <c r="B1051" s="108"/>
      <c r="C1051" s="108"/>
      <c r="D1051" s="108"/>
      <c r="E1051" s="28" t="s">
        <v>547</v>
      </c>
      <c r="F1051" s="29">
        <v>3</v>
      </c>
      <c r="G1051" s="30">
        <v>1615.86</v>
      </c>
      <c r="H1051" s="49"/>
      <c r="I1051" s="30">
        <v>1615.86</v>
      </c>
    </row>
    <row r="1052" spans="1:9" s="18" customFormat="1" ht="11.1" hidden="1" customHeight="1" outlineLevel="2" x14ac:dyDescent="0.2">
      <c r="A1052" s="108" t="s">
        <v>895</v>
      </c>
      <c r="B1052" s="108"/>
      <c r="C1052" s="108"/>
      <c r="D1052" s="108"/>
      <c r="E1052" s="28" t="s">
        <v>547</v>
      </c>
      <c r="F1052" s="29">
        <v>2</v>
      </c>
      <c r="G1052" s="30">
        <v>29042.14</v>
      </c>
      <c r="H1052" s="49"/>
      <c r="I1052" s="30">
        <v>29042.14</v>
      </c>
    </row>
    <row r="1053" spans="1:9" s="18" customFormat="1" ht="11.1" hidden="1" customHeight="1" outlineLevel="2" x14ac:dyDescent="0.2">
      <c r="A1053" s="108" t="s">
        <v>896</v>
      </c>
      <c r="B1053" s="108"/>
      <c r="C1053" s="108"/>
      <c r="D1053" s="108"/>
      <c r="E1053" s="28" t="s">
        <v>547</v>
      </c>
      <c r="F1053" s="29">
        <v>3</v>
      </c>
      <c r="G1053" s="44">
        <v>424.5</v>
      </c>
      <c r="H1053" s="49"/>
      <c r="I1053" s="44">
        <v>424.5</v>
      </c>
    </row>
    <row r="1054" spans="1:9" s="18" customFormat="1" ht="11.1" hidden="1" customHeight="1" outlineLevel="2" x14ac:dyDescent="0.2">
      <c r="A1054" s="108" t="s">
        <v>831</v>
      </c>
      <c r="B1054" s="108"/>
      <c r="C1054" s="108"/>
      <c r="D1054" s="108"/>
      <c r="E1054" s="28" t="s">
        <v>547</v>
      </c>
      <c r="F1054" s="29">
        <v>1</v>
      </c>
      <c r="G1054" s="30">
        <v>2669.74</v>
      </c>
      <c r="H1054" s="49"/>
      <c r="I1054" s="30">
        <v>2669.74</v>
      </c>
    </row>
    <row r="1055" spans="1:9" s="18" customFormat="1" ht="11.1" hidden="1" customHeight="1" outlineLevel="2" collapsed="1" x14ac:dyDescent="0.2">
      <c r="A1055" s="108" t="s">
        <v>831</v>
      </c>
      <c r="B1055" s="108"/>
      <c r="C1055" s="108"/>
      <c r="D1055" s="108"/>
      <c r="E1055" s="28" t="s">
        <v>547</v>
      </c>
      <c r="F1055" s="29">
        <v>2</v>
      </c>
      <c r="G1055" s="30">
        <v>5982.02</v>
      </c>
      <c r="H1055" s="49"/>
      <c r="I1055" s="30">
        <v>5982.02</v>
      </c>
    </row>
    <row r="1056" spans="1:9" s="18" customFormat="1" ht="11.1" hidden="1" customHeight="1" outlineLevel="1" collapsed="1" x14ac:dyDescent="0.2">
      <c r="A1056" s="107" t="s">
        <v>897</v>
      </c>
      <c r="B1056" s="107"/>
      <c r="C1056" s="107"/>
      <c r="D1056" s="107"/>
      <c r="E1056" s="107"/>
      <c r="F1056" s="25">
        <v>100</v>
      </c>
      <c r="G1056" s="34">
        <v>27503</v>
      </c>
      <c r="H1056" s="48"/>
      <c r="I1056" s="34">
        <v>27503</v>
      </c>
    </row>
    <row r="1057" spans="1:9" s="18" customFormat="1" ht="11.1" hidden="1" customHeight="1" outlineLevel="2" collapsed="1" x14ac:dyDescent="0.2">
      <c r="A1057" s="108" t="s">
        <v>830</v>
      </c>
      <c r="B1057" s="108"/>
      <c r="C1057" s="108"/>
      <c r="D1057" s="108"/>
      <c r="E1057" s="28" t="s">
        <v>547</v>
      </c>
      <c r="F1057" s="29">
        <v>100</v>
      </c>
      <c r="G1057" s="30">
        <v>27503</v>
      </c>
      <c r="H1057" s="49"/>
      <c r="I1057" s="30">
        <v>27503</v>
      </c>
    </row>
    <row r="1058" spans="1:9" s="18" customFormat="1" ht="11.1" hidden="1" customHeight="1" outlineLevel="1" collapsed="1" x14ac:dyDescent="0.2">
      <c r="A1058" s="107" t="s">
        <v>898</v>
      </c>
      <c r="B1058" s="107"/>
      <c r="C1058" s="107"/>
      <c r="D1058" s="107"/>
      <c r="E1058" s="107"/>
      <c r="F1058" s="25">
        <v>35</v>
      </c>
      <c r="G1058" s="26">
        <v>421888.25</v>
      </c>
      <c r="H1058" s="48"/>
      <c r="I1058" s="26">
        <v>421888.25</v>
      </c>
    </row>
    <row r="1059" spans="1:9" s="18" customFormat="1" ht="11.1" hidden="1" customHeight="1" outlineLevel="2" collapsed="1" x14ac:dyDescent="0.2">
      <c r="A1059" s="108" t="s">
        <v>880</v>
      </c>
      <c r="B1059" s="108"/>
      <c r="C1059" s="108"/>
      <c r="D1059" s="108"/>
      <c r="E1059" s="28" t="s">
        <v>547</v>
      </c>
      <c r="F1059" s="29">
        <v>35</v>
      </c>
      <c r="G1059" s="30">
        <v>421888.25</v>
      </c>
      <c r="H1059" s="49"/>
      <c r="I1059" s="30">
        <v>421888.25</v>
      </c>
    </row>
    <row r="1060" spans="1:9" s="18" customFormat="1" ht="11.1" hidden="1" customHeight="1" outlineLevel="1" collapsed="1" x14ac:dyDescent="0.2">
      <c r="A1060" s="107" t="s">
        <v>899</v>
      </c>
      <c r="B1060" s="107"/>
      <c r="C1060" s="107"/>
      <c r="D1060" s="107"/>
      <c r="E1060" s="107"/>
      <c r="F1060" s="25">
        <v>10</v>
      </c>
      <c r="G1060" s="26">
        <v>309734.96000000002</v>
      </c>
      <c r="H1060" s="48"/>
      <c r="I1060" s="26">
        <v>309734.96000000002</v>
      </c>
    </row>
    <row r="1061" spans="1:9" s="18" customFormat="1" ht="11.1" hidden="1" customHeight="1" outlineLevel="2" x14ac:dyDescent="0.2">
      <c r="A1061" s="108" t="s">
        <v>900</v>
      </c>
      <c r="B1061" s="108"/>
      <c r="C1061" s="108"/>
      <c r="D1061" s="108"/>
      <c r="E1061" s="28" t="s">
        <v>547</v>
      </c>
      <c r="F1061" s="29">
        <v>2</v>
      </c>
      <c r="G1061" s="30">
        <v>8683.26</v>
      </c>
      <c r="H1061" s="49"/>
      <c r="I1061" s="30">
        <v>8683.26</v>
      </c>
    </row>
    <row r="1062" spans="1:9" s="18" customFormat="1" ht="11.1" hidden="1" customHeight="1" outlineLevel="2" x14ac:dyDescent="0.2">
      <c r="A1062" s="108" t="s">
        <v>901</v>
      </c>
      <c r="B1062" s="108"/>
      <c r="C1062" s="108"/>
      <c r="D1062" s="108"/>
      <c r="E1062" s="28" t="s">
        <v>547</v>
      </c>
      <c r="F1062" s="29">
        <v>2</v>
      </c>
      <c r="G1062" s="30">
        <v>9478.32</v>
      </c>
      <c r="H1062" s="49"/>
      <c r="I1062" s="30">
        <v>9478.32</v>
      </c>
    </row>
    <row r="1063" spans="1:9" s="18" customFormat="1" ht="11.1" hidden="1" customHeight="1" outlineLevel="2" x14ac:dyDescent="0.2">
      <c r="A1063" s="108" t="s">
        <v>902</v>
      </c>
      <c r="B1063" s="108"/>
      <c r="C1063" s="108"/>
      <c r="D1063" s="108"/>
      <c r="E1063" s="28" t="s">
        <v>547</v>
      </c>
      <c r="F1063" s="29">
        <v>2</v>
      </c>
      <c r="G1063" s="30">
        <v>24843.9</v>
      </c>
      <c r="H1063" s="49"/>
      <c r="I1063" s="30">
        <v>24843.9</v>
      </c>
    </row>
    <row r="1064" spans="1:9" s="18" customFormat="1" ht="11.1" hidden="1" customHeight="1" outlineLevel="2" x14ac:dyDescent="0.2">
      <c r="A1064" s="108" t="s">
        <v>880</v>
      </c>
      <c r="B1064" s="108"/>
      <c r="C1064" s="108"/>
      <c r="D1064" s="108"/>
      <c r="E1064" s="28" t="s">
        <v>547</v>
      </c>
      <c r="F1064" s="29">
        <v>2</v>
      </c>
      <c r="G1064" s="30">
        <v>24228.5</v>
      </c>
      <c r="H1064" s="49"/>
      <c r="I1064" s="30">
        <v>24228.5</v>
      </c>
    </row>
    <row r="1065" spans="1:9" s="18" customFormat="1" ht="11.1" hidden="1" customHeight="1" outlineLevel="2" collapsed="1" x14ac:dyDescent="0.2">
      <c r="A1065" s="108" t="s">
        <v>903</v>
      </c>
      <c r="B1065" s="108"/>
      <c r="C1065" s="108"/>
      <c r="D1065" s="108"/>
      <c r="E1065" s="28" t="s">
        <v>547</v>
      </c>
      <c r="F1065" s="29">
        <v>2</v>
      </c>
      <c r="G1065" s="30">
        <v>242500.98</v>
      </c>
      <c r="H1065" s="49"/>
      <c r="I1065" s="30">
        <v>242500.98</v>
      </c>
    </row>
    <row r="1066" spans="1:9" s="18" customFormat="1" ht="11.1" hidden="1" customHeight="1" outlineLevel="1" collapsed="1" x14ac:dyDescent="0.2">
      <c r="A1066" s="107" t="s">
        <v>904</v>
      </c>
      <c r="B1066" s="107"/>
      <c r="C1066" s="107"/>
      <c r="D1066" s="107"/>
      <c r="E1066" s="107"/>
      <c r="F1066" s="25">
        <v>8</v>
      </c>
      <c r="G1066" s="26">
        <v>14430.48</v>
      </c>
      <c r="H1066" s="48"/>
      <c r="I1066" s="26">
        <v>14430.48</v>
      </c>
    </row>
    <row r="1067" spans="1:9" s="18" customFormat="1" ht="11.1" hidden="1" customHeight="1" outlineLevel="2" x14ac:dyDescent="0.2">
      <c r="A1067" s="108" t="s">
        <v>841</v>
      </c>
      <c r="B1067" s="108"/>
      <c r="C1067" s="108"/>
      <c r="D1067" s="108"/>
      <c r="E1067" s="28" t="s">
        <v>547</v>
      </c>
      <c r="F1067" s="29">
        <v>4</v>
      </c>
      <c r="G1067" s="30">
        <v>7383.96</v>
      </c>
      <c r="H1067" s="49"/>
      <c r="I1067" s="30">
        <v>7383.96</v>
      </c>
    </row>
    <row r="1068" spans="1:9" s="18" customFormat="1" ht="11.1" hidden="1" customHeight="1" outlineLevel="2" collapsed="1" x14ac:dyDescent="0.2">
      <c r="A1068" s="108" t="s">
        <v>824</v>
      </c>
      <c r="B1068" s="108"/>
      <c r="C1068" s="108"/>
      <c r="D1068" s="108"/>
      <c r="E1068" s="28" t="s">
        <v>547</v>
      </c>
      <c r="F1068" s="29">
        <v>4</v>
      </c>
      <c r="G1068" s="30">
        <v>7046.52</v>
      </c>
      <c r="H1068" s="49"/>
      <c r="I1068" s="30">
        <v>7046.52</v>
      </c>
    </row>
    <row r="1069" spans="1:9" s="18" customFormat="1" ht="11.1" hidden="1" customHeight="1" outlineLevel="1" collapsed="1" x14ac:dyDescent="0.2">
      <c r="A1069" s="107" t="s">
        <v>905</v>
      </c>
      <c r="B1069" s="107"/>
      <c r="C1069" s="107"/>
      <c r="D1069" s="107"/>
      <c r="E1069" s="107"/>
      <c r="F1069" s="25">
        <v>3</v>
      </c>
      <c r="G1069" s="26">
        <v>24801.95</v>
      </c>
      <c r="H1069" s="48"/>
      <c r="I1069" s="26">
        <v>24801.95</v>
      </c>
    </row>
    <row r="1070" spans="1:9" s="18" customFormat="1" ht="11.1" hidden="1" customHeight="1" outlineLevel="2" x14ac:dyDescent="0.2">
      <c r="A1070" s="108" t="s">
        <v>906</v>
      </c>
      <c r="B1070" s="108"/>
      <c r="C1070" s="108"/>
      <c r="D1070" s="108"/>
      <c r="E1070" s="28" t="s">
        <v>547</v>
      </c>
      <c r="F1070" s="29">
        <v>1</v>
      </c>
      <c r="G1070" s="30">
        <v>1088.03</v>
      </c>
      <c r="H1070" s="49"/>
      <c r="I1070" s="30">
        <v>1088.03</v>
      </c>
    </row>
    <row r="1071" spans="1:9" s="18" customFormat="1" ht="11.1" hidden="1" customHeight="1" outlineLevel="2" collapsed="1" x14ac:dyDescent="0.2">
      <c r="A1071" s="108" t="s">
        <v>907</v>
      </c>
      <c r="B1071" s="108"/>
      <c r="C1071" s="108"/>
      <c r="D1071" s="108"/>
      <c r="E1071" s="28" t="s">
        <v>547</v>
      </c>
      <c r="F1071" s="29">
        <v>2</v>
      </c>
      <c r="G1071" s="30">
        <v>23713.919999999998</v>
      </c>
      <c r="H1071" s="49"/>
      <c r="I1071" s="30">
        <v>23713.919999999998</v>
      </c>
    </row>
    <row r="1072" spans="1:9" s="18" customFormat="1" ht="11.1" hidden="1" customHeight="1" outlineLevel="1" collapsed="1" x14ac:dyDescent="0.2">
      <c r="A1072" s="107" t="s">
        <v>908</v>
      </c>
      <c r="B1072" s="107"/>
      <c r="C1072" s="107"/>
      <c r="D1072" s="107"/>
      <c r="E1072" s="107"/>
      <c r="F1072" s="25">
        <v>4</v>
      </c>
      <c r="G1072" s="26">
        <v>12350.39</v>
      </c>
      <c r="H1072" s="48"/>
      <c r="I1072" s="26">
        <v>12350.39</v>
      </c>
    </row>
    <row r="1073" spans="1:9" s="18" customFormat="1" ht="11.1" hidden="1" customHeight="1" outlineLevel="2" x14ac:dyDescent="0.2">
      <c r="A1073" s="108" t="s">
        <v>909</v>
      </c>
      <c r="B1073" s="108"/>
      <c r="C1073" s="108"/>
      <c r="D1073" s="108"/>
      <c r="E1073" s="28" t="s">
        <v>547</v>
      </c>
      <c r="F1073" s="29">
        <v>1</v>
      </c>
      <c r="G1073" s="30">
        <v>8830.32</v>
      </c>
      <c r="H1073" s="49"/>
      <c r="I1073" s="30">
        <v>8830.32</v>
      </c>
    </row>
    <row r="1074" spans="1:9" s="18" customFormat="1" ht="11.1" hidden="1" customHeight="1" outlineLevel="2" x14ac:dyDescent="0.2">
      <c r="A1074" s="108" t="s">
        <v>841</v>
      </c>
      <c r="B1074" s="108"/>
      <c r="C1074" s="108"/>
      <c r="D1074" s="108"/>
      <c r="E1074" s="28" t="s">
        <v>547</v>
      </c>
      <c r="F1074" s="29">
        <v>1</v>
      </c>
      <c r="G1074" s="30">
        <v>1942.99</v>
      </c>
      <c r="H1074" s="49"/>
      <c r="I1074" s="30">
        <v>1942.99</v>
      </c>
    </row>
    <row r="1075" spans="1:9" s="18" customFormat="1" ht="11.1" hidden="1" customHeight="1" outlineLevel="2" collapsed="1" x14ac:dyDescent="0.2">
      <c r="A1075" s="108" t="s">
        <v>910</v>
      </c>
      <c r="B1075" s="108"/>
      <c r="C1075" s="108"/>
      <c r="D1075" s="108"/>
      <c r="E1075" s="28" t="s">
        <v>547</v>
      </c>
      <c r="F1075" s="29">
        <v>2</v>
      </c>
      <c r="G1075" s="30">
        <v>1577.08</v>
      </c>
      <c r="H1075" s="49"/>
      <c r="I1075" s="30">
        <v>1577.08</v>
      </c>
    </row>
    <row r="1076" spans="1:9" s="18" customFormat="1" ht="11.1" hidden="1" customHeight="1" outlineLevel="1" collapsed="1" x14ac:dyDescent="0.2">
      <c r="A1076" s="107" t="s">
        <v>911</v>
      </c>
      <c r="B1076" s="107"/>
      <c r="C1076" s="107"/>
      <c r="D1076" s="107"/>
      <c r="E1076" s="107"/>
      <c r="F1076" s="25">
        <v>15</v>
      </c>
      <c r="G1076" s="39">
        <v>32022.9</v>
      </c>
      <c r="H1076" s="48"/>
      <c r="I1076" s="39">
        <v>32022.9</v>
      </c>
    </row>
    <row r="1077" spans="1:9" s="18" customFormat="1" ht="11.1" hidden="1" customHeight="1" outlineLevel="2" x14ac:dyDescent="0.2">
      <c r="A1077" s="108" t="s">
        <v>912</v>
      </c>
      <c r="B1077" s="108"/>
      <c r="C1077" s="108"/>
      <c r="D1077" s="108"/>
      <c r="E1077" s="28" t="s">
        <v>547</v>
      </c>
      <c r="F1077" s="29">
        <v>2</v>
      </c>
      <c r="G1077" s="30">
        <v>2654.52</v>
      </c>
      <c r="H1077" s="49"/>
      <c r="I1077" s="30">
        <v>2654.52</v>
      </c>
    </row>
    <row r="1078" spans="1:9" s="18" customFormat="1" ht="11.1" hidden="1" customHeight="1" outlineLevel="2" x14ac:dyDescent="0.2">
      <c r="A1078" s="108" t="s">
        <v>841</v>
      </c>
      <c r="B1078" s="108"/>
      <c r="C1078" s="108"/>
      <c r="D1078" s="108"/>
      <c r="E1078" s="28" t="s">
        <v>547</v>
      </c>
      <c r="F1078" s="29">
        <v>4</v>
      </c>
      <c r="G1078" s="30">
        <v>7521.96</v>
      </c>
      <c r="H1078" s="49"/>
      <c r="I1078" s="30">
        <v>7521.96</v>
      </c>
    </row>
    <row r="1079" spans="1:9" s="18" customFormat="1" ht="11.1" hidden="1" customHeight="1" outlineLevel="2" x14ac:dyDescent="0.2">
      <c r="A1079" s="108" t="s">
        <v>515</v>
      </c>
      <c r="B1079" s="108"/>
      <c r="C1079" s="108"/>
      <c r="D1079" s="108"/>
      <c r="E1079" s="28" t="s">
        <v>547</v>
      </c>
      <c r="F1079" s="29">
        <v>3</v>
      </c>
      <c r="G1079" s="30">
        <v>5653.14</v>
      </c>
      <c r="H1079" s="49"/>
      <c r="I1079" s="30">
        <v>5653.14</v>
      </c>
    </row>
    <row r="1080" spans="1:9" s="18" customFormat="1" ht="11.1" hidden="1" customHeight="1" outlineLevel="2" x14ac:dyDescent="0.2">
      <c r="A1080" s="108" t="s">
        <v>913</v>
      </c>
      <c r="B1080" s="108"/>
      <c r="C1080" s="108"/>
      <c r="D1080" s="108"/>
      <c r="E1080" s="28" t="s">
        <v>547</v>
      </c>
      <c r="F1080" s="29">
        <v>3</v>
      </c>
      <c r="G1080" s="30">
        <v>7391.19</v>
      </c>
      <c r="H1080" s="49"/>
      <c r="I1080" s="30">
        <v>7391.19</v>
      </c>
    </row>
    <row r="1081" spans="1:9" s="18" customFormat="1" ht="11.1" hidden="1" customHeight="1" outlineLevel="2" collapsed="1" x14ac:dyDescent="0.2">
      <c r="A1081" s="108" t="s">
        <v>831</v>
      </c>
      <c r="B1081" s="108"/>
      <c r="C1081" s="108"/>
      <c r="D1081" s="108"/>
      <c r="E1081" s="28" t="s">
        <v>547</v>
      </c>
      <c r="F1081" s="29">
        <v>3</v>
      </c>
      <c r="G1081" s="30">
        <v>8802.09</v>
      </c>
      <c r="H1081" s="49"/>
      <c r="I1081" s="30">
        <v>8802.09</v>
      </c>
    </row>
    <row r="1082" spans="1:9" s="18" customFormat="1" ht="11.1" hidden="1" customHeight="1" outlineLevel="1" collapsed="1" x14ac:dyDescent="0.2">
      <c r="A1082" s="107" t="s">
        <v>914</v>
      </c>
      <c r="B1082" s="107"/>
      <c r="C1082" s="107"/>
      <c r="D1082" s="107"/>
      <c r="E1082" s="107"/>
      <c r="F1082" s="25">
        <v>4</v>
      </c>
      <c r="G1082" s="26">
        <v>73277.509999999995</v>
      </c>
      <c r="H1082" s="48"/>
      <c r="I1082" s="26">
        <v>73277.509999999995</v>
      </c>
    </row>
    <row r="1083" spans="1:9" s="18" customFormat="1" ht="11.1" hidden="1" customHeight="1" outlineLevel="2" x14ac:dyDescent="0.2">
      <c r="A1083" s="108" t="s">
        <v>915</v>
      </c>
      <c r="B1083" s="108"/>
      <c r="C1083" s="108"/>
      <c r="D1083" s="108"/>
      <c r="E1083" s="28" t="s">
        <v>547</v>
      </c>
      <c r="F1083" s="29">
        <v>1</v>
      </c>
      <c r="G1083" s="30">
        <v>6877.43</v>
      </c>
      <c r="H1083" s="49"/>
      <c r="I1083" s="30">
        <v>6877.43</v>
      </c>
    </row>
    <row r="1084" spans="1:9" s="18" customFormat="1" ht="11.1" hidden="1" customHeight="1" outlineLevel="2" x14ac:dyDescent="0.2">
      <c r="A1084" s="108" t="s">
        <v>916</v>
      </c>
      <c r="B1084" s="108"/>
      <c r="C1084" s="108"/>
      <c r="D1084" s="108"/>
      <c r="E1084" s="28" t="s">
        <v>547</v>
      </c>
      <c r="F1084" s="29">
        <v>1</v>
      </c>
      <c r="G1084" s="44">
        <v>94.66</v>
      </c>
      <c r="H1084" s="49"/>
      <c r="I1084" s="44">
        <v>94.66</v>
      </c>
    </row>
    <row r="1085" spans="1:9" s="18" customFormat="1" ht="21.95" hidden="1" customHeight="1" outlineLevel="2" x14ac:dyDescent="0.2">
      <c r="A1085" s="108" t="s">
        <v>917</v>
      </c>
      <c r="B1085" s="108"/>
      <c r="C1085" s="108"/>
      <c r="D1085" s="108"/>
      <c r="E1085" s="28" t="s">
        <v>547</v>
      </c>
      <c r="F1085" s="29">
        <v>1</v>
      </c>
      <c r="G1085" s="44">
        <v>518.84</v>
      </c>
      <c r="H1085" s="49"/>
      <c r="I1085" s="44">
        <v>518.84</v>
      </c>
    </row>
    <row r="1086" spans="1:9" s="18" customFormat="1" ht="11.1" hidden="1" customHeight="1" outlineLevel="2" collapsed="1" x14ac:dyDescent="0.2">
      <c r="A1086" s="108" t="s">
        <v>918</v>
      </c>
      <c r="B1086" s="108"/>
      <c r="C1086" s="108"/>
      <c r="D1086" s="108"/>
      <c r="E1086" s="28" t="s">
        <v>547</v>
      </c>
      <c r="F1086" s="29">
        <v>1</v>
      </c>
      <c r="G1086" s="30">
        <v>65786.58</v>
      </c>
      <c r="H1086" s="49"/>
      <c r="I1086" s="30">
        <v>65786.58</v>
      </c>
    </row>
    <row r="1087" spans="1:9" s="18" customFormat="1" ht="11.1" hidden="1" customHeight="1" outlineLevel="1" collapsed="1" x14ac:dyDescent="0.2">
      <c r="A1087" s="107" t="s">
        <v>919</v>
      </c>
      <c r="B1087" s="107"/>
      <c r="C1087" s="107"/>
      <c r="D1087" s="107"/>
      <c r="E1087" s="107"/>
      <c r="F1087" s="25">
        <v>45</v>
      </c>
      <c r="G1087" s="26">
        <v>26404.53</v>
      </c>
      <c r="H1087" s="48"/>
      <c r="I1087" s="26">
        <v>26404.53</v>
      </c>
    </row>
    <row r="1088" spans="1:9" s="18" customFormat="1" ht="11.1" hidden="1" customHeight="1" outlineLevel="2" x14ac:dyDescent="0.2">
      <c r="A1088" s="108" t="s">
        <v>920</v>
      </c>
      <c r="B1088" s="108"/>
      <c r="C1088" s="108"/>
      <c r="D1088" s="108"/>
      <c r="E1088" s="28" t="s">
        <v>547</v>
      </c>
      <c r="F1088" s="29">
        <v>30</v>
      </c>
      <c r="G1088" s="30">
        <v>2081.4</v>
      </c>
      <c r="H1088" s="49"/>
      <c r="I1088" s="30">
        <v>2081.4</v>
      </c>
    </row>
    <row r="1089" spans="1:9" s="18" customFormat="1" ht="11.1" hidden="1" customHeight="1" outlineLevel="2" x14ac:dyDescent="0.2">
      <c r="A1089" s="108" t="s">
        <v>921</v>
      </c>
      <c r="B1089" s="108"/>
      <c r="C1089" s="108"/>
      <c r="D1089" s="108"/>
      <c r="E1089" s="28" t="s">
        <v>547</v>
      </c>
      <c r="F1089" s="29">
        <v>2</v>
      </c>
      <c r="G1089" s="30">
        <v>2283.2800000000002</v>
      </c>
      <c r="H1089" s="49"/>
      <c r="I1089" s="30">
        <v>2283.2800000000002</v>
      </c>
    </row>
    <row r="1090" spans="1:9" s="18" customFormat="1" ht="11.1" hidden="1" customHeight="1" outlineLevel="2" x14ac:dyDescent="0.2">
      <c r="A1090" s="108" t="s">
        <v>922</v>
      </c>
      <c r="B1090" s="108"/>
      <c r="C1090" s="108"/>
      <c r="D1090" s="108"/>
      <c r="E1090" s="28" t="s">
        <v>547</v>
      </c>
      <c r="F1090" s="29">
        <v>1</v>
      </c>
      <c r="G1090" s="30">
        <v>12780.23</v>
      </c>
      <c r="H1090" s="49"/>
      <c r="I1090" s="30">
        <v>12780.23</v>
      </c>
    </row>
    <row r="1091" spans="1:9" s="18" customFormat="1" ht="11.1" hidden="1" customHeight="1" outlineLevel="2" x14ac:dyDescent="0.2">
      <c r="A1091" s="108" t="s">
        <v>923</v>
      </c>
      <c r="B1091" s="108"/>
      <c r="C1091" s="108"/>
      <c r="D1091" s="108"/>
      <c r="E1091" s="28" t="s">
        <v>547</v>
      </c>
      <c r="F1091" s="29">
        <v>2</v>
      </c>
      <c r="G1091" s="44">
        <v>409.92</v>
      </c>
      <c r="H1091" s="49"/>
      <c r="I1091" s="44">
        <v>409.92</v>
      </c>
    </row>
    <row r="1092" spans="1:9" s="18" customFormat="1" ht="11.1" hidden="1" customHeight="1" outlineLevel="2" collapsed="1" x14ac:dyDescent="0.2">
      <c r="A1092" s="108" t="s">
        <v>924</v>
      </c>
      <c r="B1092" s="108"/>
      <c r="C1092" s="108"/>
      <c r="D1092" s="108"/>
      <c r="E1092" s="28" t="s">
        <v>547</v>
      </c>
      <c r="F1092" s="29">
        <v>10</v>
      </c>
      <c r="G1092" s="30">
        <v>8849.7000000000007</v>
      </c>
      <c r="H1092" s="49"/>
      <c r="I1092" s="30">
        <v>8849.7000000000007</v>
      </c>
    </row>
    <row r="1093" spans="1:9" s="18" customFormat="1" ht="11.1" hidden="1" customHeight="1" outlineLevel="1" collapsed="1" x14ac:dyDescent="0.2">
      <c r="A1093" s="107" t="s">
        <v>925</v>
      </c>
      <c r="B1093" s="107"/>
      <c r="C1093" s="107"/>
      <c r="D1093" s="107"/>
      <c r="E1093" s="107"/>
      <c r="F1093" s="25">
        <v>57</v>
      </c>
      <c r="G1093" s="26">
        <v>24959.13</v>
      </c>
      <c r="H1093" s="48"/>
      <c r="I1093" s="26">
        <v>24959.13</v>
      </c>
    </row>
    <row r="1094" spans="1:9" s="18" customFormat="1" ht="11.1" hidden="1" customHeight="1" outlineLevel="2" x14ac:dyDescent="0.2">
      <c r="A1094" s="108" t="s">
        <v>926</v>
      </c>
      <c r="B1094" s="108"/>
      <c r="C1094" s="108"/>
      <c r="D1094" s="108"/>
      <c r="E1094" s="28" t="s">
        <v>547</v>
      </c>
      <c r="F1094" s="29">
        <v>5</v>
      </c>
      <c r="G1094" s="30">
        <v>2467.9499999999998</v>
      </c>
      <c r="H1094" s="49"/>
      <c r="I1094" s="30">
        <v>2467.9499999999998</v>
      </c>
    </row>
    <row r="1095" spans="1:9" s="18" customFormat="1" ht="11.1" hidden="1" customHeight="1" outlineLevel="2" x14ac:dyDescent="0.2">
      <c r="A1095" s="108" t="s">
        <v>927</v>
      </c>
      <c r="B1095" s="108"/>
      <c r="C1095" s="108"/>
      <c r="D1095" s="108"/>
      <c r="E1095" s="28" t="s">
        <v>547</v>
      </c>
      <c r="F1095" s="29">
        <v>5</v>
      </c>
      <c r="G1095" s="30">
        <v>2877.7</v>
      </c>
      <c r="H1095" s="49"/>
      <c r="I1095" s="30">
        <v>2877.7</v>
      </c>
    </row>
    <row r="1096" spans="1:9" s="18" customFormat="1" ht="11.1" hidden="1" customHeight="1" outlineLevel="2" x14ac:dyDescent="0.2">
      <c r="A1096" s="108" t="s">
        <v>928</v>
      </c>
      <c r="B1096" s="108"/>
      <c r="C1096" s="108"/>
      <c r="D1096" s="108"/>
      <c r="E1096" s="28" t="s">
        <v>547</v>
      </c>
      <c r="F1096" s="29">
        <v>5</v>
      </c>
      <c r="G1096" s="44">
        <v>58.05</v>
      </c>
      <c r="H1096" s="49"/>
      <c r="I1096" s="44">
        <v>58.05</v>
      </c>
    </row>
    <row r="1097" spans="1:9" s="18" customFormat="1" ht="11.1" hidden="1" customHeight="1" outlineLevel="2" x14ac:dyDescent="0.2">
      <c r="A1097" s="108" t="s">
        <v>929</v>
      </c>
      <c r="B1097" s="108"/>
      <c r="C1097" s="108"/>
      <c r="D1097" s="108"/>
      <c r="E1097" s="28" t="s">
        <v>547</v>
      </c>
      <c r="F1097" s="29">
        <v>5</v>
      </c>
      <c r="G1097" s="44">
        <v>243.05</v>
      </c>
      <c r="H1097" s="49"/>
      <c r="I1097" s="44">
        <v>243.05</v>
      </c>
    </row>
    <row r="1098" spans="1:9" s="18" customFormat="1" ht="11.1" hidden="1" customHeight="1" outlineLevel="2" x14ac:dyDescent="0.2">
      <c r="A1098" s="108" t="s">
        <v>930</v>
      </c>
      <c r="B1098" s="108"/>
      <c r="C1098" s="108"/>
      <c r="D1098" s="108"/>
      <c r="E1098" s="28" t="s">
        <v>547</v>
      </c>
      <c r="F1098" s="29">
        <v>2</v>
      </c>
      <c r="G1098" s="44">
        <v>351.82</v>
      </c>
      <c r="H1098" s="49"/>
      <c r="I1098" s="44">
        <v>351.82</v>
      </c>
    </row>
    <row r="1099" spans="1:9" s="18" customFormat="1" ht="11.1" hidden="1" customHeight="1" outlineLevel="2" x14ac:dyDescent="0.2">
      <c r="A1099" s="108" t="s">
        <v>930</v>
      </c>
      <c r="B1099" s="108"/>
      <c r="C1099" s="108"/>
      <c r="D1099" s="108"/>
      <c r="E1099" s="28" t="s">
        <v>547</v>
      </c>
      <c r="F1099" s="29">
        <v>3</v>
      </c>
      <c r="G1099" s="44">
        <v>530.49</v>
      </c>
      <c r="H1099" s="49"/>
      <c r="I1099" s="44">
        <v>530.49</v>
      </c>
    </row>
    <row r="1100" spans="1:9" s="18" customFormat="1" ht="11.1" hidden="1" customHeight="1" outlineLevel="2" x14ac:dyDescent="0.2">
      <c r="A1100" s="108" t="s">
        <v>931</v>
      </c>
      <c r="B1100" s="108"/>
      <c r="C1100" s="108"/>
      <c r="D1100" s="108"/>
      <c r="E1100" s="28" t="s">
        <v>547</v>
      </c>
      <c r="F1100" s="29">
        <v>2</v>
      </c>
      <c r="G1100" s="30">
        <v>11906.02</v>
      </c>
      <c r="H1100" s="49"/>
      <c r="I1100" s="30">
        <v>11906.02</v>
      </c>
    </row>
    <row r="1101" spans="1:9" s="18" customFormat="1" ht="11.1" hidden="1" customHeight="1" outlineLevel="2" x14ac:dyDescent="0.2">
      <c r="A1101" s="108" t="s">
        <v>932</v>
      </c>
      <c r="B1101" s="108"/>
      <c r="C1101" s="108"/>
      <c r="D1101" s="108"/>
      <c r="E1101" s="28" t="s">
        <v>547</v>
      </c>
      <c r="F1101" s="29">
        <v>5</v>
      </c>
      <c r="G1101" s="44">
        <v>416</v>
      </c>
      <c r="H1101" s="49"/>
      <c r="I1101" s="44">
        <v>416</v>
      </c>
    </row>
    <row r="1102" spans="1:9" s="18" customFormat="1" ht="11.1" hidden="1" customHeight="1" outlineLevel="2" x14ac:dyDescent="0.2">
      <c r="A1102" s="108" t="s">
        <v>933</v>
      </c>
      <c r="B1102" s="108"/>
      <c r="C1102" s="108"/>
      <c r="D1102" s="108"/>
      <c r="E1102" s="28" t="s">
        <v>547</v>
      </c>
      <c r="F1102" s="29">
        <v>20</v>
      </c>
      <c r="G1102" s="30">
        <v>6096.4</v>
      </c>
      <c r="H1102" s="49"/>
      <c r="I1102" s="30">
        <v>6096.4</v>
      </c>
    </row>
    <row r="1103" spans="1:9" s="18" customFormat="1" ht="11.1" hidden="1" customHeight="1" outlineLevel="2" collapsed="1" x14ac:dyDescent="0.2">
      <c r="A1103" s="108" t="s">
        <v>934</v>
      </c>
      <c r="B1103" s="108"/>
      <c r="C1103" s="108"/>
      <c r="D1103" s="108"/>
      <c r="E1103" s="28" t="s">
        <v>547</v>
      </c>
      <c r="F1103" s="29">
        <v>5</v>
      </c>
      <c r="G1103" s="44">
        <v>11.65</v>
      </c>
      <c r="H1103" s="49"/>
      <c r="I1103" s="44">
        <v>11.65</v>
      </c>
    </row>
    <row r="1104" spans="1:9" s="18" customFormat="1" ht="11.1" hidden="1" customHeight="1" outlineLevel="1" collapsed="1" x14ac:dyDescent="0.2">
      <c r="A1104" s="107" t="s">
        <v>935</v>
      </c>
      <c r="B1104" s="107"/>
      <c r="C1104" s="107"/>
      <c r="D1104" s="107"/>
      <c r="E1104" s="107"/>
      <c r="F1104" s="25">
        <v>50</v>
      </c>
      <c r="G1104" s="26">
        <v>38571.68</v>
      </c>
      <c r="H1104" s="48"/>
      <c r="I1104" s="26">
        <v>38571.68</v>
      </c>
    </row>
    <row r="1105" spans="1:9" s="18" customFormat="1" ht="21.95" hidden="1" customHeight="1" outlineLevel="2" x14ac:dyDescent="0.2">
      <c r="A1105" s="108" t="s">
        <v>936</v>
      </c>
      <c r="B1105" s="108"/>
      <c r="C1105" s="108"/>
      <c r="D1105" s="108"/>
      <c r="E1105" s="28" t="s">
        <v>547</v>
      </c>
      <c r="F1105" s="29">
        <v>7</v>
      </c>
      <c r="G1105" s="30">
        <v>5347.3</v>
      </c>
      <c r="H1105" s="49"/>
      <c r="I1105" s="30">
        <v>5347.3</v>
      </c>
    </row>
    <row r="1106" spans="1:9" s="18" customFormat="1" ht="21.95" hidden="1" customHeight="1" outlineLevel="2" collapsed="1" x14ac:dyDescent="0.2">
      <c r="A1106" s="108" t="s">
        <v>936</v>
      </c>
      <c r="B1106" s="108"/>
      <c r="C1106" s="108"/>
      <c r="D1106" s="108"/>
      <c r="E1106" s="28" t="s">
        <v>547</v>
      </c>
      <c r="F1106" s="29">
        <v>43</v>
      </c>
      <c r="G1106" s="30">
        <v>33224.379999999997</v>
      </c>
      <c r="H1106" s="49"/>
      <c r="I1106" s="30">
        <v>33224.379999999997</v>
      </c>
    </row>
    <row r="1107" spans="1:9" s="18" customFormat="1" ht="11.1" hidden="1" customHeight="1" outlineLevel="1" collapsed="1" x14ac:dyDescent="0.2">
      <c r="A1107" s="107" t="s">
        <v>937</v>
      </c>
      <c r="B1107" s="107"/>
      <c r="C1107" s="107"/>
      <c r="D1107" s="107"/>
      <c r="E1107" s="107"/>
      <c r="F1107" s="25">
        <v>4</v>
      </c>
      <c r="G1107" s="26">
        <v>11280.24</v>
      </c>
      <c r="H1107" s="48"/>
      <c r="I1107" s="26">
        <v>11280.24</v>
      </c>
    </row>
    <row r="1108" spans="1:9" s="18" customFormat="1" ht="11.1" hidden="1" customHeight="1" outlineLevel="2" collapsed="1" x14ac:dyDescent="0.2">
      <c r="A1108" s="108" t="s">
        <v>850</v>
      </c>
      <c r="B1108" s="108"/>
      <c r="C1108" s="108"/>
      <c r="D1108" s="108"/>
      <c r="E1108" s="28" t="s">
        <v>547</v>
      </c>
      <c r="F1108" s="29">
        <v>4</v>
      </c>
      <c r="G1108" s="30">
        <v>11280.24</v>
      </c>
      <c r="H1108" s="49"/>
      <c r="I1108" s="30">
        <v>11280.24</v>
      </c>
    </row>
    <row r="1109" spans="1:9" s="18" customFormat="1" ht="11.1" hidden="1" customHeight="1" outlineLevel="1" collapsed="1" x14ac:dyDescent="0.2">
      <c r="A1109" s="107" t="s">
        <v>938</v>
      </c>
      <c r="B1109" s="107"/>
      <c r="C1109" s="107"/>
      <c r="D1109" s="107"/>
      <c r="E1109" s="107"/>
      <c r="F1109" s="25">
        <v>39</v>
      </c>
      <c r="G1109" s="26">
        <v>171779.47</v>
      </c>
      <c r="H1109" s="48"/>
      <c r="I1109" s="26">
        <v>171779.47</v>
      </c>
    </row>
    <row r="1110" spans="1:9" s="18" customFormat="1" ht="11.1" hidden="1" customHeight="1" outlineLevel="2" x14ac:dyDescent="0.2">
      <c r="A1110" s="108" t="s">
        <v>939</v>
      </c>
      <c r="B1110" s="108"/>
      <c r="C1110" s="108"/>
      <c r="D1110" s="108"/>
      <c r="E1110" s="28" t="s">
        <v>547</v>
      </c>
      <c r="F1110" s="29">
        <v>20</v>
      </c>
      <c r="G1110" s="30">
        <v>158121.20000000001</v>
      </c>
      <c r="H1110" s="49"/>
      <c r="I1110" s="30">
        <v>158121.20000000001</v>
      </c>
    </row>
    <row r="1111" spans="1:9" s="18" customFormat="1" ht="11.1" hidden="1" customHeight="1" outlineLevel="2" x14ac:dyDescent="0.2">
      <c r="A1111" s="108" t="s">
        <v>940</v>
      </c>
      <c r="B1111" s="108"/>
      <c r="C1111" s="108"/>
      <c r="D1111" s="108"/>
      <c r="E1111" s="28" t="s">
        <v>547</v>
      </c>
      <c r="F1111" s="29">
        <v>2</v>
      </c>
      <c r="G1111" s="30">
        <v>4209.8599999999997</v>
      </c>
      <c r="H1111" s="49"/>
      <c r="I1111" s="30">
        <v>4209.8599999999997</v>
      </c>
    </row>
    <row r="1112" spans="1:9" s="18" customFormat="1" ht="11.1" hidden="1" customHeight="1" outlineLevel="2" x14ac:dyDescent="0.2">
      <c r="A1112" s="108" t="s">
        <v>941</v>
      </c>
      <c r="B1112" s="108"/>
      <c r="C1112" s="108"/>
      <c r="D1112" s="108"/>
      <c r="E1112" s="28" t="s">
        <v>547</v>
      </c>
      <c r="F1112" s="29">
        <v>2</v>
      </c>
      <c r="G1112" s="30">
        <v>3750.46</v>
      </c>
      <c r="H1112" s="49"/>
      <c r="I1112" s="30">
        <v>3750.46</v>
      </c>
    </row>
    <row r="1113" spans="1:9" s="18" customFormat="1" ht="11.1" hidden="1" customHeight="1" outlineLevel="2" x14ac:dyDescent="0.2">
      <c r="A1113" s="108" t="s">
        <v>942</v>
      </c>
      <c r="B1113" s="108"/>
      <c r="C1113" s="108"/>
      <c r="D1113" s="108"/>
      <c r="E1113" s="28" t="s">
        <v>547</v>
      </c>
      <c r="F1113" s="29">
        <v>2</v>
      </c>
      <c r="G1113" s="30">
        <v>4841.8999999999996</v>
      </c>
      <c r="H1113" s="49"/>
      <c r="I1113" s="30">
        <v>4841.8999999999996</v>
      </c>
    </row>
    <row r="1114" spans="1:9" s="18" customFormat="1" ht="11.1" hidden="1" customHeight="1" outlineLevel="2" collapsed="1" x14ac:dyDescent="0.2">
      <c r="A1114" s="108" t="s">
        <v>826</v>
      </c>
      <c r="B1114" s="108"/>
      <c r="C1114" s="108"/>
      <c r="D1114" s="108"/>
      <c r="E1114" s="28" t="s">
        <v>547</v>
      </c>
      <c r="F1114" s="29">
        <v>13</v>
      </c>
      <c r="G1114" s="44">
        <v>856.05</v>
      </c>
      <c r="H1114" s="49"/>
      <c r="I1114" s="44">
        <v>856.05</v>
      </c>
    </row>
    <row r="1115" spans="1:9" s="18" customFormat="1" ht="11.1" hidden="1" customHeight="1" outlineLevel="1" collapsed="1" x14ac:dyDescent="0.2">
      <c r="A1115" s="107" t="s">
        <v>943</v>
      </c>
      <c r="B1115" s="107"/>
      <c r="C1115" s="107"/>
      <c r="D1115" s="107"/>
      <c r="E1115" s="107"/>
      <c r="F1115" s="25">
        <v>4</v>
      </c>
      <c r="G1115" s="26">
        <v>55077.72</v>
      </c>
      <c r="H1115" s="48"/>
      <c r="I1115" s="26">
        <v>55077.72</v>
      </c>
    </row>
    <row r="1116" spans="1:9" s="18" customFormat="1" ht="11.1" hidden="1" customHeight="1" outlineLevel="2" x14ac:dyDescent="0.2">
      <c r="A1116" s="108" t="s">
        <v>944</v>
      </c>
      <c r="B1116" s="108"/>
      <c r="C1116" s="108"/>
      <c r="D1116" s="108"/>
      <c r="E1116" s="28" t="s">
        <v>547</v>
      </c>
      <c r="F1116" s="29">
        <v>1</v>
      </c>
      <c r="G1116" s="30">
        <v>51035.59</v>
      </c>
      <c r="H1116" s="49"/>
      <c r="I1116" s="30">
        <v>51035.59</v>
      </c>
    </row>
    <row r="1117" spans="1:9" s="18" customFormat="1" ht="11.1" hidden="1" customHeight="1" outlineLevel="2" x14ac:dyDescent="0.2">
      <c r="A1117" s="108" t="s">
        <v>945</v>
      </c>
      <c r="B1117" s="108"/>
      <c r="C1117" s="108"/>
      <c r="D1117" s="108"/>
      <c r="E1117" s="28" t="s">
        <v>547</v>
      </c>
      <c r="F1117" s="29">
        <v>1</v>
      </c>
      <c r="G1117" s="30">
        <v>2714.88</v>
      </c>
      <c r="H1117" s="49"/>
      <c r="I1117" s="30">
        <v>2714.88</v>
      </c>
    </row>
    <row r="1118" spans="1:9" s="18" customFormat="1" ht="21.95" hidden="1" customHeight="1" outlineLevel="2" x14ac:dyDescent="0.2">
      <c r="A1118" s="108" t="s">
        <v>946</v>
      </c>
      <c r="B1118" s="108"/>
      <c r="C1118" s="108"/>
      <c r="D1118" s="108"/>
      <c r="E1118" s="28" t="s">
        <v>547</v>
      </c>
      <c r="F1118" s="29">
        <v>1</v>
      </c>
      <c r="G1118" s="44">
        <v>476.06</v>
      </c>
      <c r="H1118" s="49"/>
      <c r="I1118" s="44">
        <v>476.06</v>
      </c>
    </row>
    <row r="1119" spans="1:9" s="18" customFormat="1" ht="11.1" hidden="1" customHeight="1" outlineLevel="2" collapsed="1" x14ac:dyDescent="0.2">
      <c r="A1119" s="108" t="s">
        <v>947</v>
      </c>
      <c r="B1119" s="108"/>
      <c r="C1119" s="108"/>
      <c r="D1119" s="108"/>
      <c r="E1119" s="28" t="s">
        <v>547</v>
      </c>
      <c r="F1119" s="29">
        <v>1</v>
      </c>
      <c r="G1119" s="44">
        <v>851.19</v>
      </c>
      <c r="H1119" s="49"/>
      <c r="I1119" s="44">
        <v>851.19</v>
      </c>
    </row>
    <row r="1120" spans="1:9" s="18" customFormat="1" ht="11.1" hidden="1" customHeight="1" outlineLevel="1" collapsed="1" x14ac:dyDescent="0.2">
      <c r="A1120" s="107" t="s">
        <v>948</v>
      </c>
      <c r="B1120" s="107"/>
      <c r="C1120" s="107"/>
      <c r="D1120" s="107"/>
      <c r="E1120" s="107"/>
      <c r="F1120" s="25">
        <v>4</v>
      </c>
      <c r="G1120" s="26">
        <v>54937.43</v>
      </c>
      <c r="H1120" s="48"/>
      <c r="I1120" s="26">
        <v>54937.43</v>
      </c>
    </row>
    <row r="1121" spans="1:9" s="18" customFormat="1" ht="11.1" hidden="1" customHeight="1" outlineLevel="2" x14ac:dyDescent="0.2">
      <c r="A1121" s="108" t="s">
        <v>944</v>
      </c>
      <c r="B1121" s="108"/>
      <c r="C1121" s="108"/>
      <c r="D1121" s="108"/>
      <c r="E1121" s="28" t="s">
        <v>547</v>
      </c>
      <c r="F1121" s="29">
        <v>1</v>
      </c>
      <c r="G1121" s="30">
        <v>50905.599999999999</v>
      </c>
      <c r="H1121" s="49"/>
      <c r="I1121" s="30">
        <v>50905.599999999999</v>
      </c>
    </row>
    <row r="1122" spans="1:9" s="18" customFormat="1" ht="11.1" hidden="1" customHeight="1" outlineLevel="2" x14ac:dyDescent="0.2">
      <c r="A1122" s="108" t="s">
        <v>945</v>
      </c>
      <c r="B1122" s="108"/>
      <c r="C1122" s="108"/>
      <c r="D1122" s="108"/>
      <c r="E1122" s="28" t="s">
        <v>547</v>
      </c>
      <c r="F1122" s="29">
        <v>1</v>
      </c>
      <c r="G1122" s="30">
        <v>2707.96</v>
      </c>
      <c r="H1122" s="49"/>
      <c r="I1122" s="30">
        <v>2707.96</v>
      </c>
    </row>
    <row r="1123" spans="1:9" s="18" customFormat="1" ht="21.95" hidden="1" customHeight="1" outlineLevel="2" x14ac:dyDescent="0.2">
      <c r="A1123" s="108" t="s">
        <v>946</v>
      </c>
      <c r="B1123" s="108"/>
      <c r="C1123" s="108"/>
      <c r="D1123" s="108"/>
      <c r="E1123" s="28" t="s">
        <v>547</v>
      </c>
      <c r="F1123" s="29">
        <v>1</v>
      </c>
      <c r="G1123" s="44">
        <v>474.85</v>
      </c>
      <c r="H1123" s="49"/>
      <c r="I1123" s="44">
        <v>474.85</v>
      </c>
    </row>
    <row r="1124" spans="1:9" s="18" customFormat="1" ht="11.1" hidden="1" customHeight="1" outlineLevel="2" collapsed="1" x14ac:dyDescent="0.2">
      <c r="A1124" s="108" t="s">
        <v>947</v>
      </c>
      <c r="B1124" s="108"/>
      <c r="C1124" s="108"/>
      <c r="D1124" s="108"/>
      <c r="E1124" s="28" t="s">
        <v>547</v>
      </c>
      <c r="F1124" s="29">
        <v>1</v>
      </c>
      <c r="G1124" s="44">
        <v>849.02</v>
      </c>
      <c r="H1124" s="49"/>
      <c r="I1124" s="44">
        <v>849.02</v>
      </c>
    </row>
    <row r="1125" spans="1:9" s="18" customFormat="1" ht="11.1" hidden="1" customHeight="1" outlineLevel="1" collapsed="1" x14ac:dyDescent="0.2">
      <c r="A1125" s="107" t="s">
        <v>949</v>
      </c>
      <c r="B1125" s="107"/>
      <c r="C1125" s="107"/>
      <c r="D1125" s="107"/>
      <c r="E1125" s="107"/>
      <c r="F1125" s="25">
        <v>4</v>
      </c>
      <c r="G1125" s="26">
        <v>59034.77</v>
      </c>
      <c r="H1125" s="48"/>
      <c r="I1125" s="26">
        <v>59034.77</v>
      </c>
    </row>
    <row r="1126" spans="1:9" s="18" customFormat="1" ht="21.95" hidden="1" customHeight="1" outlineLevel="2" x14ac:dyDescent="0.2">
      <c r="A1126" s="108" t="s">
        <v>950</v>
      </c>
      <c r="B1126" s="108"/>
      <c r="C1126" s="108"/>
      <c r="D1126" s="108"/>
      <c r="E1126" s="28" t="s">
        <v>547</v>
      </c>
      <c r="F1126" s="29">
        <v>1</v>
      </c>
      <c r="G1126" s="30">
        <v>55900.89</v>
      </c>
      <c r="H1126" s="49"/>
      <c r="I1126" s="30">
        <v>55900.89</v>
      </c>
    </row>
    <row r="1127" spans="1:9" s="18" customFormat="1" ht="11.1" hidden="1" customHeight="1" outlineLevel="2" x14ac:dyDescent="0.2">
      <c r="A1127" s="108" t="s">
        <v>945</v>
      </c>
      <c r="B1127" s="108"/>
      <c r="C1127" s="108"/>
      <c r="D1127" s="108"/>
      <c r="E1127" s="28" t="s">
        <v>547</v>
      </c>
      <c r="F1127" s="29">
        <v>1</v>
      </c>
      <c r="G1127" s="30">
        <v>1800.38</v>
      </c>
      <c r="H1127" s="49"/>
      <c r="I1127" s="30">
        <v>1800.38</v>
      </c>
    </row>
    <row r="1128" spans="1:9" s="18" customFormat="1" ht="21.95" hidden="1" customHeight="1" outlineLevel="2" x14ac:dyDescent="0.2">
      <c r="A1128" s="108" t="s">
        <v>946</v>
      </c>
      <c r="B1128" s="108"/>
      <c r="C1128" s="108"/>
      <c r="D1128" s="108"/>
      <c r="E1128" s="28" t="s">
        <v>547</v>
      </c>
      <c r="F1128" s="29">
        <v>1</v>
      </c>
      <c r="G1128" s="44">
        <v>478.41</v>
      </c>
      <c r="H1128" s="49"/>
      <c r="I1128" s="44">
        <v>478.41</v>
      </c>
    </row>
    <row r="1129" spans="1:9" s="18" customFormat="1" ht="11.1" hidden="1" customHeight="1" outlineLevel="2" collapsed="1" x14ac:dyDescent="0.2">
      <c r="A1129" s="108" t="s">
        <v>947</v>
      </c>
      <c r="B1129" s="108"/>
      <c r="C1129" s="108"/>
      <c r="D1129" s="108"/>
      <c r="E1129" s="28" t="s">
        <v>547</v>
      </c>
      <c r="F1129" s="29">
        <v>1</v>
      </c>
      <c r="G1129" s="44">
        <v>855.09</v>
      </c>
      <c r="H1129" s="49"/>
      <c r="I1129" s="44">
        <v>855.09</v>
      </c>
    </row>
    <row r="1130" spans="1:9" s="18" customFormat="1" ht="11.1" hidden="1" customHeight="1" outlineLevel="1" collapsed="1" x14ac:dyDescent="0.2">
      <c r="A1130" s="107" t="s">
        <v>951</v>
      </c>
      <c r="B1130" s="107"/>
      <c r="C1130" s="107"/>
      <c r="D1130" s="107"/>
      <c r="E1130" s="107"/>
      <c r="F1130" s="25">
        <v>2</v>
      </c>
      <c r="G1130" s="26">
        <v>7411.82</v>
      </c>
      <c r="H1130" s="48"/>
      <c r="I1130" s="26">
        <v>7411.82</v>
      </c>
    </row>
    <row r="1131" spans="1:9" s="18" customFormat="1" ht="11.1" hidden="1" customHeight="1" outlineLevel="2" collapsed="1" x14ac:dyDescent="0.2">
      <c r="A1131" s="108" t="s">
        <v>952</v>
      </c>
      <c r="B1131" s="108"/>
      <c r="C1131" s="108"/>
      <c r="D1131" s="108"/>
      <c r="E1131" s="28" t="s">
        <v>547</v>
      </c>
      <c r="F1131" s="29">
        <v>2</v>
      </c>
      <c r="G1131" s="30">
        <v>7411.82</v>
      </c>
      <c r="H1131" s="49"/>
      <c r="I1131" s="30">
        <v>7411.82</v>
      </c>
    </row>
    <row r="1132" spans="1:9" s="18" customFormat="1" ht="11.1" hidden="1" customHeight="1" outlineLevel="1" collapsed="1" x14ac:dyDescent="0.2">
      <c r="A1132" s="107" t="s">
        <v>953</v>
      </c>
      <c r="B1132" s="107"/>
      <c r="C1132" s="107"/>
      <c r="D1132" s="107"/>
      <c r="E1132" s="107"/>
      <c r="F1132" s="25">
        <v>8</v>
      </c>
      <c r="G1132" s="26">
        <v>14064.24</v>
      </c>
      <c r="H1132" s="48"/>
      <c r="I1132" s="26">
        <v>14064.24</v>
      </c>
    </row>
    <row r="1133" spans="1:9" s="18" customFormat="1" ht="11.1" hidden="1" customHeight="1" outlineLevel="2" collapsed="1" x14ac:dyDescent="0.2">
      <c r="A1133" s="108" t="s">
        <v>824</v>
      </c>
      <c r="B1133" s="108"/>
      <c r="C1133" s="108"/>
      <c r="D1133" s="108"/>
      <c r="E1133" s="28" t="s">
        <v>547</v>
      </c>
      <c r="F1133" s="29">
        <v>8</v>
      </c>
      <c r="G1133" s="30">
        <v>14064.24</v>
      </c>
      <c r="H1133" s="49"/>
      <c r="I1133" s="30">
        <v>14064.24</v>
      </c>
    </row>
    <row r="1134" spans="1:9" s="18" customFormat="1" ht="11.1" hidden="1" customHeight="1" outlineLevel="1" collapsed="1" x14ac:dyDescent="0.2">
      <c r="A1134" s="107" t="s">
        <v>954</v>
      </c>
      <c r="B1134" s="107"/>
      <c r="C1134" s="107"/>
      <c r="D1134" s="107"/>
      <c r="E1134" s="107"/>
      <c r="F1134" s="25">
        <v>2</v>
      </c>
      <c r="G1134" s="42">
        <v>800.18</v>
      </c>
      <c r="H1134" s="48"/>
      <c r="I1134" s="42">
        <v>800.18</v>
      </c>
    </row>
    <row r="1135" spans="1:9" s="18" customFormat="1" ht="11.1" hidden="1" customHeight="1" outlineLevel="2" x14ac:dyDescent="0.2">
      <c r="A1135" s="108" t="s">
        <v>955</v>
      </c>
      <c r="B1135" s="108"/>
      <c r="C1135" s="108"/>
      <c r="D1135" s="108"/>
      <c r="E1135" s="28" t="s">
        <v>547</v>
      </c>
      <c r="F1135" s="29">
        <v>1</v>
      </c>
      <c r="G1135" s="44">
        <v>359.79</v>
      </c>
      <c r="H1135" s="49"/>
      <c r="I1135" s="44">
        <v>359.79</v>
      </c>
    </row>
    <row r="1136" spans="1:9" s="18" customFormat="1" ht="11.1" hidden="1" customHeight="1" outlineLevel="2" collapsed="1" x14ac:dyDescent="0.2">
      <c r="A1136" s="108" t="s">
        <v>955</v>
      </c>
      <c r="B1136" s="108"/>
      <c r="C1136" s="108"/>
      <c r="D1136" s="108"/>
      <c r="E1136" s="28" t="s">
        <v>547</v>
      </c>
      <c r="F1136" s="29">
        <v>1</v>
      </c>
      <c r="G1136" s="44">
        <v>440.39</v>
      </c>
      <c r="H1136" s="49"/>
      <c r="I1136" s="44">
        <v>440.39</v>
      </c>
    </row>
    <row r="1137" spans="1:9" s="18" customFormat="1" ht="11.1" hidden="1" customHeight="1" outlineLevel="1" collapsed="1" x14ac:dyDescent="0.2">
      <c r="A1137" s="107" t="s">
        <v>956</v>
      </c>
      <c r="B1137" s="107"/>
      <c r="C1137" s="107"/>
      <c r="D1137" s="107"/>
      <c r="E1137" s="107"/>
      <c r="F1137" s="25">
        <v>10</v>
      </c>
      <c r="G1137" s="39">
        <v>4625.7</v>
      </c>
      <c r="H1137" s="48"/>
      <c r="I1137" s="39">
        <v>4625.7</v>
      </c>
    </row>
    <row r="1138" spans="1:9" s="18" customFormat="1" ht="11.1" hidden="1" customHeight="1" outlineLevel="2" collapsed="1" x14ac:dyDescent="0.2">
      <c r="A1138" s="108" t="s">
        <v>833</v>
      </c>
      <c r="B1138" s="108"/>
      <c r="C1138" s="108"/>
      <c r="D1138" s="108"/>
      <c r="E1138" s="28" t="s">
        <v>547</v>
      </c>
      <c r="F1138" s="29">
        <v>10</v>
      </c>
      <c r="G1138" s="30">
        <v>4625.7</v>
      </c>
      <c r="H1138" s="49"/>
      <c r="I1138" s="30">
        <v>4625.7</v>
      </c>
    </row>
    <row r="1139" spans="1:9" s="18" customFormat="1" ht="11.1" hidden="1" customHeight="1" outlineLevel="1" collapsed="1" x14ac:dyDescent="0.2">
      <c r="A1139" s="107" t="s">
        <v>957</v>
      </c>
      <c r="B1139" s="107"/>
      <c r="C1139" s="107"/>
      <c r="D1139" s="107"/>
      <c r="E1139" s="107"/>
      <c r="F1139" s="25">
        <v>2</v>
      </c>
      <c r="G1139" s="26">
        <v>120090.68</v>
      </c>
      <c r="H1139" s="48"/>
      <c r="I1139" s="26">
        <v>120090.68</v>
      </c>
    </row>
    <row r="1140" spans="1:9" s="18" customFormat="1" ht="11.1" hidden="1" customHeight="1" outlineLevel="2" x14ac:dyDescent="0.2">
      <c r="A1140" s="108" t="s">
        <v>958</v>
      </c>
      <c r="B1140" s="108"/>
      <c r="C1140" s="108"/>
      <c r="D1140" s="108"/>
      <c r="E1140" s="28" t="s">
        <v>547</v>
      </c>
      <c r="F1140" s="29">
        <v>1</v>
      </c>
      <c r="G1140" s="30">
        <v>93748.36</v>
      </c>
      <c r="H1140" s="49"/>
      <c r="I1140" s="30">
        <v>93748.36</v>
      </c>
    </row>
    <row r="1141" spans="1:9" s="18" customFormat="1" ht="11.1" hidden="1" customHeight="1" outlineLevel="2" collapsed="1" x14ac:dyDescent="0.2">
      <c r="A1141" s="108" t="s">
        <v>959</v>
      </c>
      <c r="B1141" s="108"/>
      <c r="C1141" s="108"/>
      <c r="D1141" s="108"/>
      <c r="E1141" s="28" t="s">
        <v>547</v>
      </c>
      <c r="F1141" s="29">
        <v>1</v>
      </c>
      <c r="G1141" s="30">
        <v>26342.32</v>
      </c>
      <c r="H1141" s="49"/>
      <c r="I1141" s="30">
        <v>26342.32</v>
      </c>
    </row>
    <row r="1142" spans="1:9" s="18" customFormat="1" ht="11.1" hidden="1" customHeight="1" outlineLevel="1" collapsed="1" x14ac:dyDescent="0.2">
      <c r="A1142" s="107" t="s">
        <v>960</v>
      </c>
      <c r="B1142" s="107"/>
      <c r="C1142" s="107"/>
      <c r="D1142" s="107"/>
      <c r="E1142" s="107"/>
      <c r="F1142" s="25">
        <v>6</v>
      </c>
      <c r="G1142" s="26">
        <v>48191.040000000001</v>
      </c>
      <c r="H1142" s="48"/>
      <c r="I1142" s="26">
        <v>48191.040000000001</v>
      </c>
    </row>
    <row r="1143" spans="1:9" s="18" customFormat="1" ht="11.1" hidden="1" customHeight="1" outlineLevel="2" collapsed="1" x14ac:dyDescent="0.2">
      <c r="A1143" s="108" t="s">
        <v>961</v>
      </c>
      <c r="B1143" s="108"/>
      <c r="C1143" s="108"/>
      <c r="D1143" s="108"/>
      <c r="E1143" s="28" t="s">
        <v>547</v>
      </c>
      <c r="F1143" s="29">
        <v>6</v>
      </c>
      <c r="G1143" s="30">
        <v>48191.040000000001</v>
      </c>
      <c r="H1143" s="49"/>
      <c r="I1143" s="30">
        <v>48191.040000000001</v>
      </c>
    </row>
    <row r="1144" spans="1:9" s="18" customFormat="1" ht="11.1" hidden="1" customHeight="1" outlineLevel="1" collapsed="1" x14ac:dyDescent="0.2">
      <c r="A1144" s="107" t="s">
        <v>962</v>
      </c>
      <c r="B1144" s="107"/>
      <c r="C1144" s="107"/>
      <c r="D1144" s="107"/>
      <c r="E1144" s="107"/>
      <c r="F1144" s="25">
        <v>2</v>
      </c>
      <c r="G1144" s="26">
        <v>186201.12</v>
      </c>
      <c r="H1144" s="48"/>
      <c r="I1144" s="26">
        <v>186201.12</v>
      </c>
    </row>
    <row r="1145" spans="1:9" s="18" customFormat="1" ht="11.1" hidden="1" customHeight="1" outlineLevel="2" collapsed="1" x14ac:dyDescent="0.2">
      <c r="A1145" s="108" t="s">
        <v>963</v>
      </c>
      <c r="B1145" s="108"/>
      <c r="C1145" s="108"/>
      <c r="D1145" s="108"/>
      <c r="E1145" s="28" t="s">
        <v>547</v>
      </c>
      <c r="F1145" s="29">
        <v>2</v>
      </c>
      <c r="G1145" s="30">
        <v>186201.12</v>
      </c>
      <c r="H1145" s="49"/>
      <c r="I1145" s="30">
        <v>186201.12</v>
      </c>
    </row>
    <row r="1146" spans="1:9" s="18" customFormat="1" ht="11.1" hidden="1" customHeight="1" outlineLevel="1" collapsed="1" x14ac:dyDescent="0.2">
      <c r="A1146" s="107" t="s">
        <v>964</v>
      </c>
      <c r="B1146" s="107"/>
      <c r="C1146" s="107"/>
      <c r="D1146" s="107"/>
      <c r="E1146" s="107"/>
      <c r="F1146" s="25">
        <v>2</v>
      </c>
      <c r="G1146" s="42">
        <v>775.08</v>
      </c>
      <c r="H1146" s="48"/>
      <c r="I1146" s="42">
        <v>775.08</v>
      </c>
    </row>
    <row r="1147" spans="1:9" s="18" customFormat="1" ht="11.1" hidden="1" customHeight="1" outlineLevel="2" x14ac:dyDescent="0.2">
      <c r="A1147" s="108" t="s">
        <v>965</v>
      </c>
      <c r="B1147" s="108"/>
      <c r="C1147" s="108"/>
      <c r="D1147" s="108"/>
      <c r="E1147" s="28" t="s">
        <v>547</v>
      </c>
      <c r="F1147" s="29">
        <v>1</v>
      </c>
      <c r="G1147" s="44">
        <v>517.4</v>
      </c>
      <c r="H1147" s="49"/>
      <c r="I1147" s="44">
        <v>517.4</v>
      </c>
    </row>
    <row r="1148" spans="1:9" s="18" customFormat="1" ht="11.1" hidden="1" customHeight="1" outlineLevel="2" collapsed="1" x14ac:dyDescent="0.2">
      <c r="A1148" s="108" t="s">
        <v>966</v>
      </c>
      <c r="B1148" s="108"/>
      <c r="C1148" s="108"/>
      <c r="D1148" s="108"/>
      <c r="E1148" s="28" t="s">
        <v>547</v>
      </c>
      <c r="F1148" s="29">
        <v>1</v>
      </c>
      <c r="G1148" s="44">
        <v>257.68</v>
      </c>
      <c r="H1148" s="49"/>
      <c r="I1148" s="44">
        <v>257.68</v>
      </c>
    </row>
    <row r="1149" spans="1:9" s="18" customFormat="1" ht="11.1" hidden="1" customHeight="1" outlineLevel="1" collapsed="1" x14ac:dyDescent="0.2">
      <c r="A1149" s="107" t="s">
        <v>967</v>
      </c>
      <c r="B1149" s="107"/>
      <c r="C1149" s="107"/>
      <c r="D1149" s="107"/>
      <c r="E1149" s="107"/>
      <c r="F1149" s="25">
        <v>1</v>
      </c>
      <c r="G1149" s="39">
        <v>56014.9</v>
      </c>
      <c r="H1149" s="48"/>
      <c r="I1149" s="39">
        <v>56014.9</v>
      </c>
    </row>
    <row r="1150" spans="1:9" s="18" customFormat="1" ht="11.1" hidden="1" customHeight="1" outlineLevel="2" collapsed="1" x14ac:dyDescent="0.2">
      <c r="A1150" s="108" t="s">
        <v>968</v>
      </c>
      <c r="B1150" s="108"/>
      <c r="C1150" s="108"/>
      <c r="D1150" s="108"/>
      <c r="E1150" s="28" t="s">
        <v>547</v>
      </c>
      <c r="F1150" s="29">
        <v>1</v>
      </c>
      <c r="G1150" s="30">
        <v>56014.9</v>
      </c>
      <c r="H1150" s="49"/>
      <c r="I1150" s="30">
        <v>56014.9</v>
      </c>
    </row>
    <row r="1151" spans="1:9" s="18" customFormat="1" ht="11.1" hidden="1" customHeight="1" outlineLevel="1" collapsed="1" x14ac:dyDescent="0.2">
      <c r="A1151" s="107" t="s">
        <v>969</v>
      </c>
      <c r="B1151" s="107"/>
      <c r="C1151" s="107"/>
      <c r="D1151" s="107"/>
      <c r="E1151" s="107"/>
      <c r="F1151" s="25">
        <v>4</v>
      </c>
      <c r="G1151" s="26">
        <v>3819.64</v>
      </c>
      <c r="H1151" s="48"/>
      <c r="I1151" s="26">
        <v>3819.64</v>
      </c>
    </row>
    <row r="1152" spans="1:9" s="18" customFormat="1" ht="11.1" hidden="1" customHeight="1" outlineLevel="2" collapsed="1" x14ac:dyDescent="0.2">
      <c r="A1152" s="108" t="s">
        <v>970</v>
      </c>
      <c r="B1152" s="108"/>
      <c r="C1152" s="108"/>
      <c r="D1152" s="108"/>
      <c r="E1152" s="28" t="s">
        <v>547</v>
      </c>
      <c r="F1152" s="29">
        <v>4</v>
      </c>
      <c r="G1152" s="30">
        <v>3819.64</v>
      </c>
      <c r="H1152" s="49"/>
      <c r="I1152" s="30">
        <v>3819.64</v>
      </c>
    </row>
    <row r="1153" spans="1:9" s="18" customFormat="1" ht="11.1" hidden="1" customHeight="1" outlineLevel="1" collapsed="1" x14ac:dyDescent="0.2">
      <c r="A1153" s="107" t="s">
        <v>971</v>
      </c>
      <c r="B1153" s="107"/>
      <c r="C1153" s="107"/>
      <c r="D1153" s="107"/>
      <c r="E1153" s="107"/>
      <c r="F1153" s="25">
        <v>10</v>
      </c>
      <c r="G1153" s="39">
        <v>4823.6000000000004</v>
      </c>
      <c r="H1153" s="48"/>
      <c r="I1153" s="39">
        <v>4823.6000000000004</v>
      </c>
    </row>
    <row r="1154" spans="1:9" s="18" customFormat="1" ht="21.95" hidden="1" customHeight="1" outlineLevel="2" collapsed="1" x14ac:dyDescent="0.2">
      <c r="A1154" s="108" t="s">
        <v>972</v>
      </c>
      <c r="B1154" s="108"/>
      <c r="C1154" s="108"/>
      <c r="D1154" s="108"/>
      <c r="E1154" s="28" t="s">
        <v>547</v>
      </c>
      <c r="F1154" s="29">
        <v>10</v>
      </c>
      <c r="G1154" s="30">
        <v>4823.6000000000004</v>
      </c>
      <c r="H1154" s="49"/>
      <c r="I1154" s="30">
        <v>4823.6000000000004</v>
      </c>
    </row>
    <row r="1155" spans="1:9" s="18" customFormat="1" ht="11.1" hidden="1" customHeight="1" outlineLevel="1" collapsed="1" x14ac:dyDescent="0.2">
      <c r="A1155" s="107" t="s">
        <v>973</v>
      </c>
      <c r="B1155" s="107"/>
      <c r="C1155" s="107"/>
      <c r="D1155" s="107"/>
      <c r="E1155" s="107"/>
      <c r="F1155" s="25">
        <v>55</v>
      </c>
      <c r="G1155" s="26">
        <v>13655.71</v>
      </c>
      <c r="H1155" s="48"/>
      <c r="I1155" s="26">
        <v>13655.71</v>
      </c>
    </row>
    <row r="1156" spans="1:9" s="18" customFormat="1" ht="11.1" hidden="1" customHeight="1" outlineLevel="2" x14ac:dyDescent="0.2">
      <c r="A1156" s="108" t="s">
        <v>868</v>
      </c>
      <c r="B1156" s="108"/>
      <c r="C1156" s="108"/>
      <c r="D1156" s="108"/>
      <c r="E1156" s="28" t="s">
        <v>547</v>
      </c>
      <c r="F1156" s="29">
        <v>50</v>
      </c>
      <c r="G1156" s="30">
        <v>4395</v>
      </c>
      <c r="H1156" s="49"/>
      <c r="I1156" s="30">
        <v>4395</v>
      </c>
    </row>
    <row r="1157" spans="1:9" s="18" customFormat="1" ht="11.1" hidden="1" customHeight="1" outlineLevel="2" x14ac:dyDescent="0.2">
      <c r="A1157" s="108" t="s">
        <v>824</v>
      </c>
      <c r="B1157" s="108"/>
      <c r="C1157" s="108"/>
      <c r="D1157" s="108"/>
      <c r="E1157" s="28" t="s">
        <v>547</v>
      </c>
      <c r="F1157" s="29">
        <v>3</v>
      </c>
      <c r="G1157" s="30">
        <v>5306.01</v>
      </c>
      <c r="H1157" s="49"/>
      <c r="I1157" s="30">
        <v>5306.01</v>
      </c>
    </row>
    <row r="1158" spans="1:9" s="18" customFormat="1" ht="11.1" hidden="1" customHeight="1" outlineLevel="2" x14ac:dyDescent="0.2">
      <c r="A1158" s="108" t="s">
        <v>824</v>
      </c>
      <c r="B1158" s="108"/>
      <c r="C1158" s="108"/>
      <c r="D1158" s="108"/>
      <c r="E1158" s="28" t="s">
        <v>547</v>
      </c>
      <c r="F1158" s="29">
        <v>1</v>
      </c>
      <c r="G1158" s="30">
        <v>1962.75</v>
      </c>
      <c r="H1158" s="49"/>
      <c r="I1158" s="30">
        <v>1962.75</v>
      </c>
    </row>
    <row r="1159" spans="1:9" s="18" customFormat="1" ht="11.1" hidden="1" customHeight="1" outlineLevel="2" collapsed="1" x14ac:dyDescent="0.2">
      <c r="A1159" s="108" t="s">
        <v>824</v>
      </c>
      <c r="B1159" s="108"/>
      <c r="C1159" s="108"/>
      <c r="D1159" s="108"/>
      <c r="E1159" s="28" t="s">
        <v>547</v>
      </c>
      <c r="F1159" s="29">
        <v>1</v>
      </c>
      <c r="G1159" s="30">
        <v>1991.95</v>
      </c>
      <c r="H1159" s="49"/>
      <c r="I1159" s="30">
        <v>1991.95</v>
      </c>
    </row>
    <row r="1160" spans="1:9" s="18" customFormat="1" ht="11.1" hidden="1" customHeight="1" outlineLevel="1" collapsed="1" x14ac:dyDescent="0.2">
      <c r="A1160" s="107" t="s">
        <v>974</v>
      </c>
      <c r="B1160" s="107"/>
      <c r="C1160" s="107"/>
      <c r="D1160" s="107"/>
      <c r="E1160" s="107"/>
      <c r="F1160" s="25">
        <v>2</v>
      </c>
      <c r="G1160" s="26">
        <v>242258.22</v>
      </c>
      <c r="H1160" s="48"/>
      <c r="I1160" s="26">
        <v>242258.22</v>
      </c>
    </row>
    <row r="1161" spans="1:9" s="18" customFormat="1" ht="11.1" hidden="1" customHeight="1" outlineLevel="2" collapsed="1" x14ac:dyDescent="0.2">
      <c r="A1161" s="108" t="s">
        <v>975</v>
      </c>
      <c r="B1161" s="108"/>
      <c r="C1161" s="108"/>
      <c r="D1161" s="108"/>
      <c r="E1161" s="28" t="s">
        <v>547</v>
      </c>
      <c r="F1161" s="29">
        <v>2</v>
      </c>
      <c r="G1161" s="30">
        <v>242258.22</v>
      </c>
      <c r="H1161" s="49"/>
      <c r="I1161" s="30">
        <v>242258.22</v>
      </c>
    </row>
    <row r="1162" spans="1:9" s="18" customFormat="1" ht="11.1" hidden="1" customHeight="1" outlineLevel="1" collapsed="1" x14ac:dyDescent="0.2">
      <c r="A1162" s="107" t="s">
        <v>976</v>
      </c>
      <c r="B1162" s="107"/>
      <c r="C1162" s="107"/>
      <c r="D1162" s="107"/>
      <c r="E1162" s="107"/>
      <c r="F1162" s="25">
        <v>5</v>
      </c>
      <c r="G1162" s="26">
        <v>15232.46</v>
      </c>
      <c r="H1162" s="48"/>
      <c r="I1162" s="26">
        <v>15232.46</v>
      </c>
    </row>
    <row r="1163" spans="1:9" s="18" customFormat="1" ht="21.95" hidden="1" customHeight="1" outlineLevel="2" x14ac:dyDescent="0.2">
      <c r="A1163" s="108" t="s">
        <v>821</v>
      </c>
      <c r="B1163" s="108"/>
      <c r="C1163" s="108"/>
      <c r="D1163" s="108"/>
      <c r="E1163" s="28" t="s">
        <v>547</v>
      </c>
      <c r="F1163" s="29">
        <v>1</v>
      </c>
      <c r="G1163" s="44">
        <v>434.43</v>
      </c>
      <c r="H1163" s="49"/>
      <c r="I1163" s="44">
        <v>434.43</v>
      </c>
    </row>
    <row r="1164" spans="1:9" s="18" customFormat="1" ht="11.1" hidden="1" customHeight="1" outlineLevel="2" x14ac:dyDescent="0.2">
      <c r="A1164" s="108" t="s">
        <v>823</v>
      </c>
      <c r="B1164" s="108"/>
      <c r="C1164" s="108"/>
      <c r="D1164" s="108"/>
      <c r="E1164" s="28" t="s">
        <v>547</v>
      </c>
      <c r="F1164" s="29">
        <v>1</v>
      </c>
      <c r="G1164" s="44">
        <v>435.78</v>
      </c>
      <c r="H1164" s="49"/>
      <c r="I1164" s="44">
        <v>435.78</v>
      </c>
    </row>
    <row r="1165" spans="1:9" s="18" customFormat="1" ht="21.95" hidden="1" customHeight="1" outlineLevel="2" x14ac:dyDescent="0.2">
      <c r="A1165" s="108" t="s">
        <v>822</v>
      </c>
      <c r="B1165" s="108"/>
      <c r="C1165" s="108"/>
      <c r="D1165" s="108"/>
      <c r="E1165" s="28" t="s">
        <v>547</v>
      </c>
      <c r="F1165" s="29">
        <v>1</v>
      </c>
      <c r="G1165" s="44">
        <v>403.67</v>
      </c>
      <c r="H1165" s="49"/>
      <c r="I1165" s="44">
        <v>403.67</v>
      </c>
    </row>
    <row r="1166" spans="1:9" s="18" customFormat="1" ht="21.95" hidden="1" customHeight="1" outlineLevel="2" x14ac:dyDescent="0.2">
      <c r="A1166" s="108" t="s">
        <v>977</v>
      </c>
      <c r="B1166" s="108"/>
      <c r="C1166" s="108"/>
      <c r="D1166" s="108"/>
      <c r="E1166" s="28" t="s">
        <v>547</v>
      </c>
      <c r="F1166" s="29">
        <v>1</v>
      </c>
      <c r="G1166" s="30">
        <v>1916.26</v>
      </c>
      <c r="H1166" s="49"/>
      <c r="I1166" s="30">
        <v>1916.26</v>
      </c>
    </row>
    <row r="1167" spans="1:9" s="18" customFormat="1" ht="11.1" hidden="1" customHeight="1" outlineLevel="2" collapsed="1" x14ac:dyDescent="0.2">
      <c r="A1167" s="108" t="s">
        <v>978</v>
      </c>
      <c r="B1167" s="108"/>
      <c r="C1167" s="108"/>
      <c r="D1167" s="108"/>
      <c r="E1167" s="28" t="s">
        <v>547</v>
      </c>
      <c r="F1167" s="29">
        <v>1</v>
      </c>
      <c r="G1167" s="30">
        <v>12042.32</v>
      </c>
      <c r="H1167" s="49"/>
      <c r="I1167" s="30">
        <v>12042.32</v>
      </c>
    </row>
    <row r="1168" spans="1:9" s="18" customFormat="1" ht="11.1" hidden="1" customHeight="1" outlineLevel="1" collapsed="1" x14ac:dyDescent="0.2">
      <c r="A1168" s="107" t="s">
        <v>979</v>
      </c>
      <c r="B1168" s="107"/>
      <c r="C1168" s="107"/>
      <c r="D1168" s="107"/>
      <c r="E1168" s="107"/>
      <c r="F1168" s="25">
        <v>139</v>
      </c>
      <c r="G1168" s="26">
        <v>987204.41</v>
      </c>
      <c r="H1168" s="48"/>
      <c r="I1168" s="26">
        <v>987204.41</v>
      </c>
    </row>
    <row r="1169" spans="1:9" s="18" customFormat="1" ht="11.1" hidden="1" customHeight="1" outlineLevel="2" collapsed="1" x14ac:dyDescent="0.2">
      <c r="A1169" s="108" t="s">
        <v>980</v>
      </c>
      <c r="B1169" s="108"/>
      <c r="C1169" s="108"/>
      <c r="D1169" s="108"/>
      <c r="E1169" s="28" t="s">
        <v>547</v>
      </c>
      <c r="F1169" s="29">
        <v>139</v>
      </c>
      <c r="G1169" s="30">
        <v>987204.41</v>
      </c>
      <c r="H1169" s="49"/>
      <c r="I1169" s="30">
        <v>987204.41</v>
      </c>
    </row>
    <row r="1170" spans="1:9" s="18" customFormat="1" ht="11.1" hidden="1" customHeight="1" outlineLevel="1" collapsed="1" x14ac:dyDescent="0.2">
      <c r="A1170" s="107" t="s">
        <v>981</v>
      </c>
      <c r="B1170" s="107"/>
      <c r="C1170" s="107"/>
      <c r="D1170" s="107"/>
      <c r="E1170" s="107"/>
      <c r="F1170" s="25">
        <v>24</v>
      </c>
      <c r="G1170" s="26">
        <v>41885.58</v>
      </c>
      <c r="H1170" s="48"/>
      <c r="I1170" s="26">
        <v>41885.58</v>
      </c>
    </row>
    <row r="1171" spans="1:9" s="18" customFormat="1" ht="11.1" hidden="1" customHeight="1" outlineLevel="2" x14ac:dyDescent="0.2">
      <c r="A1171" s="108" t="s">
        <v>982</v>
      </c>
      <c r="B1171" s="108"/>
      <c r="C1171" s="108"/>
      <c r="D1171" s="108"/>
      <c r="E1171" s="28" t="s">
        <v>547</v>
      </c>
      <c r="F1171" s="29">
        <v>10</v>
      </c>
      <c r="G1171" s="30">
        <v>9123.5</v>
      </c>
      <c r="H1171" s="49"/>
      <c r="I1171" s="30">
        <v>9123.5</v>
      </c>
    </row>
    <row r="1172" spans="1:9" s="18" customFormat="1" ht="11.1" hidden="1" customHeight="1" outlineLevel="2" x14ac:dyDescent="0.2">
      <c r="A1172" s="108" t="s">
        <v>983</v>
      </c>
      <c r="B1172" s="108"/>
      <c r="C1172" s="108"/>
      <c r="D1172" s="108"/>
      <c r="E1172" s="28" t="s">
        <v>547</v>
      </c>
      <c r="F1172" s="29">
        <v>5</v>
      </c>
      <c r="G1172" s="30">
        <v>24280.05</v>
      </c>
      <c r="H1172" s="49"/>
      <c r="I1172" s="30">
        <v>24280.05</v>
      </c>
    </row>
    <row r="1173" spans="1:9" s="18" customFormat="1" ht="11.1" hidden="1" customHeight="1" outlineLevel="2" x14ac:dyDescent="0.2">
      <c r="A1173" s="108" t="s">
        <v>984</v>
      </c>
      <c r="B1173" s="108"/>
      <c r="C1173" s="108"/>
      <c r="D1173" s="108"/>
      <c r="E1173" s="28" t="s">
        <v>547</v>
      </c>
      <c r="F1173" s="29">
        <v>4</v>
      </c>
      <c r="G1173" s="30">
        <v>3920.48</v>
      </c>
      <c r="H1173" s="49"/>
      <c r="I1173" s="30">
        <v>3920.48</v>
      </c>
    </row>
    <row r="1174" spans="1:9" s="18" customFormat="1" ht="11.1" hidden="1" customHeight="1" outlineLevel="2" collapsed="1" x14ac:dyDescent="0.2">
      <c r="A1174" s="108" t="s">
        <v>985</v>
      </c>
      <c r="B1174" s="108"/>
      <c r="C1174" s="108"/>
      <c r="D1174" s="108"/>
      <c r="E1174" s="28" t="s">
        <v>547</v>
      </c>
      <c r="F1174" s="29">
        <v>5</v>
      </c>
      <c r="G1174" s="30">
        <v>4561.55</v>
      </c>
      <c r="H1174" s="49"/>
      <c r="I1174" s="30">
        <v>4561.55</v>
      </c>
    </row>
    <row r="1175" spans="1:9" s="18" customFormat="1" ht="11.1" hidden="1" customHeight="1" outlineLevel="1" collapsed="1" x14ac:dyDescent="0.2">
      <c r="A1175" s="107" t="s">
        <v>986</v>
      </c>
      <c r="B1175" s="107"/>
      <c r="C1175" s="107"/>
      <c r="D1175" s="107"/>
      <c r="E1175" s="107"/>
      <c r="F1175" s="25">
        <v>2</v>
      </c>
      <c r="G1175" s="26">
        <v>2804835.92</v>
      </c>
      <c r="H1175" s="48"/>
      <c r="I1175" s="26">
        <v>2804835.92</v>
      </c>
    </row>
    <row r="1176" spans="1:9" s="18" customFormat="1" ht="11.1" hidden="1" customHeight="1" outlineLevel="2" collapsed="1" x14ac:dyDescent="0.2">
      <c r="A1176" s="108" t="s">
        <v>987</v>
      </c>
      <c r="B1176" s="108"/>
      <c r="C1176" s="108"/>
      <c r="D1176" s="108"/>
      <c r="E1176" s="28" t="s">
        <v>547</v>
      </c>
      <c r="F1176" s="29">
        <v>2</v>
      </c>
      <c r="G1176" s="30">
        <v>2804835.92</v>
      </c>
      <c r="H1176" s="49"/>
      <c r="I1176" s="30">
        <v>2804835.92</v>
      </c>
    </row>
    <row r="1177" spans="1:9" s="18" customFormat="1" ht="11.1" hidden="1" customHeight="1" outlineLevel="1" collapsed="1" x14ac:dyDescent="0.2">
      <c r="A1177" s="107" t="s">
        <v>988</v>
      </c>
      <c r="B1177" s="107"/>
      <c r="C1177" s="107"/>
      <c r="D1177" s="107"/>
      <c r="E1177" s="107"/>
      <c r="F1177" s="25">
        <v>140</v>
      </c>
      <c r="G1177" s="26">
        <v>9353.84</v>
      </c>
      <c r="H1177" s="48"/>
      <c r="I1177" s="26">
        <v>9353.84</v>
      </c>
    </row>
    <row r="1178" spans="1:9" s="18" customFormat="1" ht="11.1" hidden="1" customHeight="1" outlineLevel="2" x14ac:dyDescent="0.2">
      <c r="A1178" s="108" t="s">
        <v>865</v>
      </c>
      <c r="B1178" s="108"/>
      <c r="C1178" s="108"/>
      <c r="D1178" s="108"/>
      <c r="E1178" s="28" t="s">
        <v>547</v>
      </c>
      <c r="F1178" s="29">
        <v>100</v>
      </c>
      <c r="G1178" s="30">
        <v>3726</v>
      </c>
      <c r="H1178" s="49"/>
      <c r="I1178" s="30">
        <v>3726</v>
      </c>
    </row>
    <row r="1179" spans="1:9" s="18" customFormat="1" ht="11.1" hidden="1" customHeight="1" outlineLevel="2" x14ac:dyDescent="0.2">
      <c r="A1179" s="108" t="s">
        <v>896</v>
      </c>
      <c r="B1179" s="108"/>
      <c r="C1179" s="108"/>
      <c r="D1179" s="108"/>
      <c r="E1179" s="28" t="s">
        <v>547</v>
      </c>
      <c r="F1179" s="29">
        <v>20</v>
      </c>
      <c r="G1179" s="30">
        <v>2443.8000000000002</v>
      </c>
      <c r="H1179" s="49"/>
      <c r="I1179" s="30">
        <v>2443.8000000000002</v>
      </c>
    </row>
    <row r="1180" spans="1:9" s="18" customFormat="1" ht="11.1" hidden="1" customHeight="1" outlineLevel="2" x14ac:dyDescent="0.2">
      <c r="A1180" s="108" t="s">
        <v>896</v>
      </c>
      <c r="B1180" s="108"/>
      <c r="C1180" s="108"/>
      <c r="D1180" s="108"/>
      <c r="E1180" s="28" t="s">
        <v>547</v>
      </c>
      <c r="F1180" s="29">
        <v>18</v>
      </c>
      <c r="G1180" s="30">
        <v>2517.66</v>
      </c>
      <c r="H1180" s="49"/>
      <c r="I1180" s="30">
        <v>2517.66</v>
      </c>
    </row>
    <row r="1181" spans="1:9" s="18" customFormat="1" ht="11.1" hidden="1" customHeight="1" outlineLevel="2" collapsed="1" x14ac:dyDescent="0.2">
      <c r="A1181" s="108" t="s">
        <v>896</v>
      </c>
      <c r="B1181" s="108"/>
      <c r="C1181" s="108"/>
      <c r="D1181" s="108"/>
      <c r="E1181" s="28" t="s">
        <v>547</v>
      </c>
      <c r="F1181" s="29">
        <v>2</v>
      </c>
      <c r="G1181" s="44">
        <v>666.38</v>
      </c>
      <c r="H1181" s="49"/>
      <c r="I1181" s="44">
        <v>666.38</v>
      </c>
    </row>
    <row r="1182" spans="1:9" s="18" customFormat="1" ht="11.1" hidden="1" customHeight="1" outlineLevel="1" collapsed="1" x14ac:dyDescent="0.2">
      <c r="A1182" s="107" t="s">
        <v>989</v>
      </c>
      <c r="B1182" s="107"/>
      <c r="C1182" s="107"/>
      <c r="D1182" s="107"/>
      <c r="E1182" s="107"/>
      <c r="F1182" s="25">
        <v>15</v>
      </c>
      <c r="G1182" s="26">
        <v>8285.85</v>
      </c>
      <c r="H1182" s="48"/>
      <c r="I1182" s="26">
        <v>8285.85</v>
      </c>
    </row>
    <row r="1183" spans="1:9" s="18" customFormat="1" ht="21.95" hidden="1" customHeight="1" outlineLevel="2" collapsed="1" x14ac:dyDescent="0.2">
      <c r="A1183" s="108" t="s">
        <v>874</v>
      </c>
      <c r="B1183" s="108"/>
      <c r="C1183" s="108"/>
      <c r="D1183" s="108"/>
      <c r="E1183" s="28" t="s">
        <v>547</v>
      </c>
      <c r="F1183" s="29">
        <v>15</v>
      </c>
      <c r="G1183" s="30">
        <v>8285.85</v>
      </c>
      <c r="H1183" s="49"/>
      <c r="I1183" s="30">
        <v>8285.85</v>
      </c>
    </row>
    <row r="1184" spans="1:9" s="18" customFormat="1" ht="11.1" hidden="1" customHeight="1" outlineLevel="1" collapsed="1" x14ac:dyDescent="0.2">
      <c r="A1184" s="107" t="s">
        <v>990</v>
      </c>
      <c r="B1184" s="107"/>
      <c r="C1184" s="107"/>
      <c r="D1184" s="107"/>
      <c r="E1184" s="107"/>
      <c r="F1184" s="25">
        <v>5</v>
      </c>
      <c r="G1184" s="39">
        <v>2369.4</v>
      </c>
      <c r="H1184" s="48"/>
      <c r="I1184" s="39">
        <v>2369.4</v>
      </c>
    </row>
    <row r="1185" spans="1:9" s="18" customFormat="1" ht="11.1" hidden="1" customHeight="1" outlineLevel="2" collapsed="1" x14ac:dyDescent="0.2">
      <c r="A1185" s="108" t="s">
        <v>833</v>
      </c>
      <c r="B1185" s="108"/>
      <c r="C1185" s="108"/>
      <c r="D1185" s="108"/>
      <c r="E1185" s="28" t="s">
        <v>547</v>
      </c>
      <c r="F1185" s="29">
        <v>5</v>
      </c>
      <c r="G1185" s="30">
        <v>2369.4</v>
      </c>
      <c r="H1185" s="49"/>
      <c r="I1185" s="30">
        <v>2369.4</v>
      </c>
    </row>
    <row r="1186" spans="1:9" s="18" customFormat="1" ht="11.1" hidden="1" customHeight="1" outlineLevel="1" collapsed="1" x14ac:dyDescent="0.2">
      <c r="A1186" s="107" t="s">
        <v>991</v>
      </c>
      <c r="B1186" s="107"/>
      <c r="C1186" s="107"/>
      <c r="D1186" s="107"/>
      <c r="E1186" s="107"/>
      <c r="F1186" s="25">
        <v>12</v>
      </c>
      <c r="G1186" s="26">
        <v>3531.02</v>
      </c>
      <c r="H1186" s="48"/>
      <c r="I1186" s="26">
        <v>3531.02</v>
      </c>
    </row>
    <row r="1187" spans="1:9" s="18" customFormat="1" ht="11.1" hidden="1" customHeight="1" outlineLevel="2" x14ac:dyDescent="0.2">
      <c r="A1187" s="108" t="s">
        <v>830</v>
      </c>
      <c r="B1187" s="108"/>
      <c r="C1187" s="108"/>
      <c r="D1187" s="108"/>
      <c r="E1187" s="28" t="s">
        <v>547</v>
      </c>
      <c r="F1187" s="29">
        <v>10</v>
      </c>
      <c r="G1187" s="30">
        <v>2987.5</v>
      </c>
      <c r="H1187" s="49"/>
      <c r="I1187" s="30">
        <v>2987.5</v>
      </c>
    </row>
    <row r="1188" spans="1:9" s="18" customFormat="1" ht="11.1" hidden="1" customHeight="1" outlineLevel="2" collapsed="1" x14ac:dyDescent="0.2">
      <c r="A1188" s="108" t="s">
        <v>992</v>
      </c>
      <c r="B1188" s="108"/>
      <c r="C1188" s="108"/>
      <c r="D1188" s="108"/>
      <c r="E1188" s="28" t="s">
        <v>547</v>
      </c>
      <c r="F1188" s="29">
        <v>2</v>
      </c>
      <c r="G1188" s="44">
        <v>543.52</v>
      </c>
      <c r="H1188" s="49"/>
      <c r="I1188" s="44">
        <v>543.52</v>
      </c>
    </row>
    <row r="1189" spans="1:9" s="18" customFormat="1" ht="11.1" hidden="1" customHeight="1" outlineLevel="1" collapsed="1" x14ac:dyDescent="0.2">
      <c r="A1189" s="107" t="s">
        <v>993</v>
      </c>
      <c r="B1189" s="107"/>
      <c r="C1189" s="107"/>
      <c r="D1189" s="107"/>
      <c r="E1189" s="107"/>
      <c r="F1189" s="25">
        <v>89</v>
      </c>
      <c r="G1189" s="26">
        <v>13275.57</v>
      </c>
      <c r="H1189" s="48"/>
      <c r="I1189" s="26">
        <v>13275.57</v>
      </c>
    </row>
    <row r="1190" spans="1:9" s="18" customFormat="1" ht="11.1" hidden="1" customHeight="1" outlineLevel="2" x14ac:dyDescent="0.2">
      <c r="A1190" s="108" t="s">
        <v>994</v>
      </c>
      <c r="B1190" s="108"/>
      <c r="C1190" s="108"/>
      <c r="D1190" s="108"/>
      <c r="E1190" s="28" t="s">
        <v>547</v>
      </c>
      <c r="F1190" s="29">
        <v>36</v>
      </c>
      <c r="G1190" s="30">
        <v>3236.76</v>
      </c>
      <c r="H1190" s="49"/>
      <c r="I1190" s="30">
        <v>3236.76</v>
      </c>
    </row>
    <row r="1191" spans="1:9" s="18" customFormat="1" ht="11.1" hidden="1" customHeight="1" outlineLevel="2" x14ac:dyDescent="0.2">
      <c r="A1191" s="108" t="s">
        <v>995</v>
      </c>
      <c r="B1191" s="108"/>
      <c r="C1191" s="108"/>
      <c r="D1191" s="108"/>
      <c r="E1191" s="28" t="s">
        <v>547</v>
      </c>
      <c r="F1191" s="29">
        <v>4</v>
      </c>
      <c r="G1191" s="44">
        <v>475.6</v>
      </c>
      <c r="H1191" s="49"/>
      <c r="I1191" s="44">
        <v>475.6</v>
      </c>
    </row>
    <row r="1192" spans="1:9" s="18" customFormat="1" ht="11.1" hidden="1" customHeight="1" outlineLevel="2" x14ac:dyDescent="0.2">
      <c r="A1192" s="108" t="s">
        <v>996</v>
      </c>
      <c r="B1192" s="108"/>
      <c r="C1192" s="108"/>
      <c r="D1192" s="108"/>
      <c r="E1192" s="28" t="s">
        <v>547</v>
      </c>
      <c r="F1192" s="29">
        <v>4</v>
      </c>
      <c r="G1192" s="30">
        <v>1456.68</v>
      </c>
      <c r="H1192" s="49"/>
      <c r="I1192" s="30">
        <v>1456.68</v>
      </c>
    </row>
    <row r="1193" spans="1:9" s="18" customFormat="1" ht="11.1" hidden="1" customHeight="1" outlineLevel="2" x14ac:dyDescent="0.2">
      <c r="A1193" s="108" t="s">
        <v>997</v>
      </c>
      <c r="B1193" s="108"/>
      <c r="C1193" s="108"/>
      <c r="D1193" s="108"/>
      <c r="E1193" s="28" t="s">
        <v>547</v>
      </c>
      <c r="F1193" s="29">
        <v>4</v>
      </c>
      <c r="G1193" s="44">
        <v>474.8</v>
      </c>
      <c r="H1193" s="49"/>
      <c r="I1193" s="44">
        <v>474.8</v>
      </c>
    </row>
    <row r="1194" spans="1:9" s="18" customFormat="1" ht="11.1" hidden="1" customHeight="1" outlineLevel="2" x14ac:dyDescent="0.2">
      <c r="A1194" s="108" t="s">
        <v>998</v>
      </c>
      <c r="B1194" s="108"/>
      <c r="C1194" s="108"/>
      <c r="D1194" s="108"/>
      <c r="E1194" s="28" t="s">
        <v>547</v>
      </c>
      <c r="F1194" s="29">
        <v>1</v>
      </c>
      <c r="G1194" s="44">
        <v>397.69</v>
      </c>
      <c r="H1194" s="49"/>
      <c r="I1194" s="44">
        <v>397.69</v>
      </c>
    </row>
    <row r="1195" spans="1:9" s="18" customFormat="1" ht="11.1" hidden="1" customHeight="1" outlineLevel="2" x14ac:dyDescent="0.2">
      <c r="A1195" s="108" t="s">
        <v>999</v>
      </c>
      <c r="B1195" s="108"/>
      <c r="C1195" s="108"/>
      <c r="D1195" s="108"/>
      <c r="E1195" s="28" t="s">
        <v>547</v>
      </c>
      <c r="F1195" s="29">
        <v>4</v>
      </c>
      <c r="G1195" s="30">
        <v>1777.16</v>
      </c>
      <c r="H1195" s="49"/>
      <c r="I1195" s="30">
        <v>1777.16</v>
      </c>
    </row>
    <row r="1196" spans="1:9" s="18" customFormat="1" ht="11.1" hidden="1" customHeight="1" outlineLevel="2" collapsed="1" x14ac:dyDescent="0.2">
      <c r="A1196" s="108" t="s">
        <v>1000</v>
      </c>
      <c r="B1196" s="108"/>
      <c r="C1196" s="108"/>
      <c r="D1196" s="108"/>
      <c r="E1196" s="28" t="s">
        <v>547</v>
      </c>
      <c r="F1196" s="29">
        <v>36</v>
      </c>
      <c r="G1196" s="30">
        <v>5456.88</v>
      </c>
      <c r="H1196" s="49"/>
      <c r="I1196" s="30">
        <v>5456.88</v>
      </c>
    </row>
    <row r="1197" spans="1:9" s="18" customFormat="1" ht="11.1" hidden="1" customHeight="1" outlineLevel="1" collapsed="1" x14ac:dyDescent="0.2">
      <c r="A1197" s="107" t="s">
        <v>1001</v>
      </c>
      <c r="B1197" s="107"/>
      <c r="C1197" s="107"/>
      <c r="D1197" s="107"/>
      <c r="E1197" s="107"/>
      <c r="F1197" s="25">
        <v>1</v>
      </c>
      <c r="G1197" s="26">
        <v>11793.06</v>
      </c>
      <c r="H1197" s="48"/>
      <c r="I1197" s="26">
        <v>11793.06</v>
      </c>
    </row>
    <row r="1198" spans="1:9" s="18" customFormat="1" ht="11.1" hidden="1" customHeight="1" outlineLevel="2" collapsed="1" x14ac:dyDescent="0.2">
      <c r="A1198" s="108" t="s">
        <v>1002</v>
      </c>
      <c r="B1198" s="108"/>
      <c r="C1198" s="108"/>
      <c r="D1198" s="108"/>
      <c r="E1198" s="28" t="s">
        <v>547</v>
      </c>
      <c r="F1198" s="29">
        <v>1</v>
      </c>
      <c r="G1198" s="30">
        <v>11793.06</v>
      </c>
      <c r="H1198" s="49"/>
      <c r="I1198" s="30">
        <v>11793.06</v>
      </c>
    </row>
    <row r="1199" spans="1:9" s="18" customFormat="1" ht="11.1" hidden="1" customHeight="1" outlineLevel="1" collapsed="1" x14ac:dyDescent="0.2">
      <c r="A1199" s="107" t="s">
        <v>1003</v>
      </c>
      <c r="B1199" s="107"/>
      <c r="C1199" s="107"/>
      <c r="D1199" s="107"/>
      <c r="E1199" s="107"/>
      <c r="F1199" s="25">
        <v>10</v>
      </c>
      <c r="G1199" s="26">
        <v>18026.52</v>
      </c>
      <c r="H1199" s="48"/>
      <c r="I1199" s="26">
        <v>18026.52</v>
      </c>
    </row>
    <row r="1200" spans="1:9" s="18" customFormat="1" ht="11.1" hidden="1" customHeight="1" outlineLevel="2" x14ac:dyDescent="0.2">
      <c r="A1200" s="108" t="s">
        <v>841</v>
      </c>
      <c r="B1200" s="108"/>
      <c r="C1200" s="108"/>
      <c r="D1200" s="108"/>
      <c r="E1200" s="28" t="s">
        <v>547</v>
      </c>
      <c r="F1200" s="29">
        <v>1</v>
      </c>
      <c r="G1200" s="30">
        <v>1887.72</v>
      </c>
      <c r="H1200" s="49"/>
      <c r="I1200" s="30">
        <v>1887.72</v>
      </c>
    </row>
    <row r="1201" spans="1:9" s="18" customFormat="1" ht="11.1" hidden="1" customHeight="1" outlineLevel="2" collapsed="1" x14ac:dyDescent="0.2">
      <c r="A1201" s="108" t="s">
        <v>841</v>
      </c>
      <c r="B1201" s="108"/>
      <c r="C1201" s="108"/>
      <c r="D1201" s="108"/>
      <c r="E1201" s="28" t="s">
        <v>547</v>
      </c>
      <c r="F1201" s="29">
        <v>9</v>
      </c>
      <c r="G1201" s="30">
        <v>16138.8</v>
      </c>
      <c r="H1201" s="49"/>
      <c r="I1201" s="30">
        <v>16138.8</v>
      </c>
    </row>
    <row r="1202" spans="1:9" s="18" customFormat="1" ht="11.1" hidden="1" customHeight="1" outlineLevel="1" collapsed="1" x14ac:dyDescent="0.2">
      <c r="A1202" s="107" t="s">
        <v>1004</v>
      </c>
      <c r="B1202" s="107"/>
      <c r="C1202" s="107"/>
      <c r="D1202" s="107"/>
      <c r="E1202" s="107"/>
      <c r="F1202" s="25">
        <v>3</v>
      </c>
      <c r="G1202" s="39">
        <v>10767.6</v>
      </c>
      <c r="H1202" s="48"/>
      <c r="I1202" s="39">
        <v>10767.6</v>
      </c>
    </row>
    <row r="1203" spans="1:9" s="18" customFormat="1" ht="11.1" hidden="1" customHeight="1" outlineLevel="2" x14ac:dyDescent="0.2">
      <c r="A1203" s="108" t="s">
        <v>841</v>
      </c>
      <c r="B1203" s="108"/>
      <c r="C1203" s="108"/>
      <c r="D1203" s="108"/>
      <c r="E1203" s="28" t="s">
        <v>547</v>
      </c>
      <c r="F1203" s="29">
        <v>1</v>
      </c>
      <c r="G1203" s="30">
        <v>2069.08</v>
      </c>
      <c r="H1203" s="49"/>
      <c r="I1203" s="30">
        <v>2069.08</v>
      </c>
    </row>
    <row r="1204" spans="1:9" s="18" customFormat="1" ht="11.1" hidden="1" customHeight="1" outlineLevel="2" x14ac:dyDescent="0.2">
      <c r="A1204" s="108" t="s">
        <v>1005</v>
      </c>
      <c r="B1204" s="108"/>
      <c r="C1204" s="108"/>
      <c r="D1204" s="108"/>
      <c r="E1204" s="28" t="s">
        <v>547</v>
      </c>
      <c r="F1204" s="29">
        <v>1</v>
      </c>
      <c r="G1204" s="30">
        <v>6318.64</v>
      </c>
      <c r="H1204" s="49"/>
      <c r="I1204" s="30">
        <v>6318.64</v>
      </c>
    </row>
    <row r="1205" spans="1:9" s="18" customFormat="1" ht="11.1" hidden="1" customHeight="1" outlineLevel="2" collapsed="1" x14ac:dyDescent="0.2">
      <c r="A1205" s="108" t="s">
        <v>1006</v>
      </c>
      <c r="B1205" s="108"/>
      <c r="C1205" s="108"/>
      <c r="D1205" s="108"/>
      <c r="E1205" s="28" t="s">
        <v>547</v>
      </c>
      <c r="F1205" s="29">
        <v>1</v>
      </c>
      <c r="G1205" s="30">
        <v>2379.88</v>
      </c>
      <c r="H1205" s="49"/>
      <c r="I1205" s="30">
        <v>2379.88</v>
      </c>
    </row>
    <row r="1206" spans="1:9" s="18" customFormat="1" ht="11.1" hidden="1" customHeight="1" outlineLevel="1" collapsed="1" x14ac:dyDescent="0.2">
      <c r="A1206" s="107" t="s">
        <v>1007</v>
      </c>
      <c r="B1206" s="107"/>
      <c r="C1206" s="107"/>
      <c r="D1206" s="107"/>
      <c r="E1206" s="107"/>
      <c r="F1206" s="25">
        <v>1</v>
      </c>
      <c r="G1206" s="39">
        <v>10697.2</v>
      </c>
      <c r="H1206" s="48"/>
      <c r="I1206" s="39">
        <v>10697.2</v>
      </c>
    </row>
    <row r="1207" spans="1:9" s="18" customFormat="1" ht="11.1" hidden="1" customHeight="1" outlineLevel="2" collapsed="1" x14ac:dyDescent="0.2">
      <c r="A1207" s="108" t="s">
        <v>1008</v>
      </c>
      <c r="B1207" s="108"/>
      <c r="C1207" s="108"/>
      <c r="D1207" s="108"/>
      <c r="E1207" s="28" t="s">
        <v>547</v>
      </c>
      <c r="F1207" s="29">
        <v>1</v>
      </c>
      <c r="G1207" s="30">
        <v>10697.2</v>
      </c>
      <c r="H1207" s="49"/>
      <c r="I1207" s="30">
        <v>10697.2</v>
      </c>
    </row>
    <row r="1208" spans="1:9" s="18" customFormat="1" ht="11.1" hidden="1" customHeight="1" outlineLevel="1" collapsed="1" x14ac:dyDescent="0.2">
      <c r="A1208" s="107" t="s">
        <v>1009</v>
      </c>
      <c r="B1208" s="107"/>
      <c r="C1208" s="107"/>
      <c r="D1208" s="107"/>
      <c r="E1208" s="107"/>
      <c r="F1208" s="25">
        <v>25</v>
      </c>
      <c r="G1208" s="26">
        <v>7448.75</v>
      </c>
      <c r="H1208" s="48"/>
      <c r="I1208" s="26">
        <v>7448.75</v>
      </c>
    </row>
    <row r="1209" spans="1:9" s="18" customFormat="1" ht="11.1" hidden="1" customHeight="1" outlineLevel="2" collapsed="1" x14ac:dyDescent="0.2">
      <c r="A1209" s="108" t="s">
        <v>830</v>
      </c>
      <c r="B1209" s="108"/>
      <c r="C1209" s="108"/>
      <c r="D1209" s="108"/>
      <c r="E1209" s="28" t="s">
        <v>547</v>
      </c>
      <c r="F1209" s="29">
        <v>25</v>
      </c>
      <c r="G1209" s="30">
        <v>7448.75</v>
      </c>
      <c r="H1209" s="49"/>
      <c r="I1209" s="30">
        <v>7448.75</v>
      </c>
    </row>
    <row r="1210" spans="1:9" s="18" customFormat="1" ht="11.1" hidden="1" customHeight="1" outlineLevel="1" collapsed="1" x14ac:dyDescent="0.2">
      <c r="A1210" s="107" t="s">
        <v>1010</v>
      </c>
      <c r="B1210" s="107"/>
      <c r="C1210" s="107"/>
      <c r="D1210" s="107"/>
      <c r="E1210" s="107"/>
      <c r="F1210" s="25">
        <v>1</v>
      </c>
      <c r="G1210" s="39">
        <v>63743.1</v>
      </c>
      <c r="H1210" s="48"/>
      <c r="I1210" s="39">
        <v>63743.1</v>
      </c>
    </row>
    <row r="1211" spans="1:9" s="18" customFormat="1" ht="11.1" hidden="1" customHeight="1" outlineLevel="2" collapsed="1" x14ac:dyDescent="0.2">
      <c r="A1211" s="108" t="s">
        <v>1011</v>
      </c>
      <c r="B1211" s="108"/>
      <c r="C1211" s="108"/>
      <c r="D1211" s="108"/>
      <c r="E1211" s="28" t="s">
        <v>547</v>
      </c>
      <c r="F1211" s="29">
        <v>1</v>
      </c>
      <c r="G1211" s="30">
        <v>63743.1</v>
      </c>
      <c r="H1211" s="49"/>
      <c r="I1211" s="30">
        <v>63743.1</v>
      </c>
    </row>
    <row r="1212" spans="1:9" s="18" customFormat="1" ht="11.1" hidden="1" customHeight="1" outlineLevel="1" collapsed="1" x14ac:dyDescent="0.2">
      <c r="A1212" s="107" t="s">
        <v>1012</v>
      </c>
      <c r="B1212" s="107"/>
      <c r="C1212" s="107"/>
      <c r="D1212" s="107"/>
      <c r="E1212" s="107"/>
      <c r="F1212" s="25">
        <v>1</v>
      </c>
      <c r="G1212" s="52">
        <v>10</v>
      </c>
      <c r="H1212" s="48"/>
      <c r="I1212" s="52">
        <v>10</v>
      </c>
    </row>
    <row r="1213" spans="1:9" s="18" customFormat="1" ht="11.1" hidden="1" customHeight="1" outlineLevel="2" collapsed="1" x14ac:dyDescent="0.2">
      <c r="A1213" s="108" t="s">
        <v>1011</v>
      </c>
      <c r="B1213" s="108"/>
      <c r="C1213" s="108"/>
      <c r="D1213" s="108"/>
      <c r="E1213" s="28" t="s">
        <v>547</v>
      </c>
      <c r="F1213" s="29">
        <v>1</v>
      </c>
      <c r="G1213" s="44">
        <v>10</v>
      </c>
      <c r="H1213" s="49"/>
      <c r="I1213" s="44">
        <v>10</v>
      </c>
    </row>
    <row r="1214" spans="1:9" s="18" customFormat="1" ht="11.1" hidden="1" customHeight="1" outlineLevel="1" collapsed="1" x14ac:dyDescent="0.2">
      <c r="A1214" s="107" t="s">
        <v>1013</v>
      </c>
      <c r="B1214" s="107"/>
      <c r="C1214" s="107"/>
      <c r="D1214" s="107"/>
      <c r="E1214" s="107"/>
      <c r="F1214" s="25">
        <v>100</v>
      </c>
      <c r="G1214" s="34">
        <v>1000</v>
      </c>
      <c r="H1214" s="48"/>
      <c r="I1214" s="34">
        <v>1000</v>
      </c>
    </row>
    <row r="1215" spans="1:9" s="18" customFormat="1" ht="21.95" hidden="1" customHeight="1" outlineLevel="2" collapsed="1" x14ac:dyDescent="0.2">
      <c r="A1215" s="108" t="s">
        <v>1014</v>
      </c>
      <c r="B1215" s="108"/>
      <c r="C1215" s="108"/>
      <c r="D1215" s="108"/>
      <c r="E1215" s="28" t="s">
        <v>547</v>
      </c>
      <c r="F1215" s="29">
        <v>100</v>
      </c>
      <c r="G1215" s="30">
        <v>1000</v>
      </c>
      <c r="H1215" s="49"/>
      <c r="I1215" s="30">
        <v>1000</v>
      </c>
    </row>
    <row r="1216" spans="1:9" s="18" customFormat="1" ht="11.1" hidden="1" customHeight="1" outlineLevel="1" collapsed="1" x14ac:dyDescent="0.2">
      <c r="A1216" s="107" t="s">
        <v>1015</v>
      </c>
      <c r="B1216" s="107"/>
      <c r="C1216" s="107"/>
      <c r="D1216" s="107"/>
      <c r="E1216" s="107"/>
      <c r="F1216" s="25">
        <v>5</v>
      </c>
      <c r="G1216" s="26">
        <v>13082.64</v>
      </c>
      <c r="H1216" s="48"/>
      <c r="I1216" s="26">
        <v>13082.64</v>
      </c>
    </row>
    <row r="1217" spans="1:9" s="18" customFormat="1" ht="21.95" hidden="1" customHeight="1" outlineLevel="2" x14ac:dyDescent="0.2">
      <c r="A1217" s="108" t="s">
        <v>874</v>
      </c>
      <c r="B1217" s="108"/>
      <c r="C1217" s="108"/>
      <c r="D1217" s="108"/>
      <c r="E1217" s="28" t="s">
        <v>547</v>
      </c>
      <c r="F1217" s="29">
        <v>3</v>
      </c>
      <c r="G1217" s="30">
        <v>1784.94</v>
      </c>
      <c r="H1217" s="49"/>
      <c r="I1217" s="30">
        <v>1784.94</v>
      </c>
    </row>
    <row r="1218" spans="1:9" s="18" customFormat="1" ht="11.1" hidden="1" customHeight="1" outlineLevel="2" collapsed="1" x14ac:dyDescent="0.2">
      <c r="A1218" s="108" t="s">
        <v>1016</v>
      </c>
      <c r="B1218" s="108"/>
      <c r="C1218" s="108"/>
      <c r="D1218" s="108"/>
      <c r="E1218" s="28" t="s">
        <v>547</v>
      </c>
      <c r="F1218" s="29">
        <v>2</v>
      </c>
      <c r="G1218" s="30">
        <v>11297.7</v>
      </c>
      <c r="H1218" s="49"/>
      <c r="I1218" s="30">
        <v>11297.7</v>
      </c>
    </row>
    <row r="1219" spans="1:9" s="18" customFormat="1" ht="11.1" hidden="1" customHeight="1" outlineLevel="1" collapsed="1" x14ac:dyDescent="0.2">
      <c r="A1219" s="107" t="s">
        <v>1017</v>
      </c>
      <c r="B1219" s="107"/>
      <c r="C1219" s="107"/>
      <c r="D1219" s="107"/>
      <c r="E1219" s="107"/>
      <c r="F1219" s="25">
        <v>2</v>
      </c>
      <c r="G1219" s="26">
        <v>21185.56</v>
      </c>
      <c r="H1219" s="48"/>
      <c r="I1219" s="26">
        <v>21185.56</v>
      </c>
    </row>
    <row r="1220" spans="1:9" s="18" customFormat="1" ht="11.1" hidden="1" customHeight="1" outlineLevel="2" collapsed="1" x14ac:dyDescent="0.2">
      <c r="A1220" s="108" t="s">
        <v>1018</v>
      </c>
      <c r="B1220" s="108"/>
      <c r="C1220" s="108"/>
      <c r="D1220" s="108"/>
      <c r="E1220" s="28" t="s">
        <v>547</v>
      </c>
      <c r="F1220" s="29">
        <v>2</v>
      </c>
      <c r="G1220" s="30">
        <v>21185.56</v>
      </c>
      <c r="H1220" s="49"/>
      <c r="I1220" s="30">
        <v>21185.56</v>
      </c>
    </row>
    <row r="1221" spans="1:9" s="18" customFormat="1" ht="11.1" hidden="1" customHeight="1" outlineLevel="1" collapsed="1" x14ac:dyDescent="0.2">
      <c r="A1221" s="107" t="s">
        <v>1019</v>
      </c>
      <c r="B1221" s="107"/>
      <c r="C1221" s="107"/>
      <c r="D1221" s="107"/>
      <c r="E1221" s="107"/>
      <c r="F1221" s="25">
        <v>13</v>
      </c>
      <c r="G1221" s="39">
        <v>1612.3</v>
      </c>
      <c r="H1221" s="48"/>
      <c r="I1221" s="39">
        <v>1612.3</v>
      </c>
    </row>
    <row r="1222" spans="1:9" s="18" customFormat="1" ht="11.1" hidden="1" customHeight="1" outlineLevel="2" x14ac:dyDescent="0.2">
      <c r="A1222" s="108" t="s">
        <v>833</v>
      </c>
      <c r="B1222" s="108"/>
      <c r="C1222" s="108"/>
      <c r="D1222" s="108"/>
      <c r="E1222" s="28" t="s">
        <v>547</v>
      </c>
      <c r="F1222" s="29">
        <v>1</v>
      </c>
      <c r="G1222" s="44">
        <v>474.02</v>
      </c>
      <c r="H1222" s="49"/>
      <c r="I1222" s="44">
        <v>474.02</v>
      </c>
    </row>
    <row r="1223" spans="1:9" s="18" customFormat="1" ht="11.1" hidden="1" customHeight="1" outlineLevel="2" x14ac:dyDescent="0.2">
      <c r="A1223" s="108" t="s">
        <v>834</v>
      </c>
      <c r="B1223" s="108"/>
      <c r="C1223" s="108"/>
      <c r="D1223" s="108"/>
      <c r="E1223" s="28" t="s">
        <v>547</v>
      </c>
      <c r="F1223" s="29">
        <v>1</v>
      </c>
      <c r="G1223" s="44">
        <v>210.72</v>
      </c>
      <c r="H1223" s="49"/>
      <c r="I1223" s="44">
        <v>210.72</v>
      </c>
    </row>
    <row r="1224" spans="1:9" s="18" customFormat="1" ht="11.1" hidden="1" customHeight="1" outlineLevel="2" x14ac:dyDescent="0.2">
      <c r="A1224" s="108" t="s">
        <v>910</v>
      </c>
      <c r="B1224" s="108"/>
      <c r="C1224" s="108"/>
      <c r="D1224" s="108"/>
      <c r="E1224" s="28" t="s">
        <v>547</v>
      </c>
      <c r="F1224" s="29">
        <v>1</v>
      </c>
      <c r="G1224" s="44">
        <v>769.26</v>
      </c>
      <c r="H1224" s="49"/>
      <c r="I1224" s="44">
        <v>769.26</v>
      </c>
    </row>
    <row r="1225" spans="1:9" s="18" customFormat="1" ht="11.1" hidden="1" customHeight="1" outlineLevel="2" collapsed="1" x14ac:dyDescent="0.2">
      <c r="A1225" s="108" t="s">
        <v>1020</v>
      </c>
      <c r="B1225" s="108"/>
      <c r="C1225" s="108"/>
      <c r="D1225" s="108"/>
      <c r="E1225" s="28" t="s">
        <v>547</v>
      </c>
      <c r="F1225" s="29">
        <v>10</v>
      </c>
      <c r="G1225" s="44">
        <v>158.30000000000001</v>
      </c>
      <c r="H1225" s="49"/>
      <c r="I1225" s="44">
        <v>158.30000000000001</v>
      </c>
    </row>
    <row r="1226" spans="1:9" s="18" customFormat="1" ht="11.1" hidden="1" customHeight="1" outlineLevel="1" collapsed="1" x14ac:dyDescent="0.2">
      <c r="A1226" s="107" t="s">
        <v>1021</v>
      </c>
      <c r="B1226" s="107"/>
      <c r="C1226" s="107"/>
      <c r="D1226" s="107"/>
      <c r="E1226" s="107"/>
      <c r="F1226" s="25">
        <v>10</v>
      </c>
      <c r="G1226" s="39">
        <v>1200.9000000000001</v>
      </c>
      <c r="H1226" s="48"/>
      <c r="I1226" s="39">
        <v>1200.9000000000001</v>
      </c>
    </row>
    <row r="1227" spans="1:9" s="18" customFormat="1" ht="11.1" hidden="1" customHeight="1" outlineLevel="2" collapsed="1" x14ac:dyDescent="0.2">
      <c r="A1227" s="108" t="s">
        <v>1022</v>
      </c>
      <c r="B1227" s="108"/>
      <c r="C1227" s="108"/>
      <c r="D1227" s="108"/>
      <c r="E1227" s="28" t="s">
        <v>547</v>
      </c>
      <c r="F1227" s="29">
        <v>10</v>
      </c>
      <c r="G1227" s="30">
        <v>1200.9000000000001</v>
      </c>
      <c r="H1227" s="49"/>
      <c r="I1227" s="30">
        <v>1200.9000000000001</v>
      </c>
    </row>
    <row r="1228" spans="1:9" s="18" customFormat="1" ht="11.1" hidden="1" customHeight="1" outlineLevel="1" collapsed="1" x14ac:dyDescent="0.2">
      <c r="A1228" s="107" t="s">
        <v>1023</v>
      </c>
      <c r="B1228" s="107"/>
      <c r="C1228" s="107"/>
      <c r="D1228" s="107"/>
      <c r="E1228" s="107"/>
      <c r="F1228" s="25">
        <v>1</v>
      </c>
      <c r="G1228" s="26">
        <v>10284.790000000001</v>
      </c>
      <c r="H1228" s="48"/>
      <c r="I1228" s="26">
        <v>10284.790000000001</v>
      </c>
    </row>
    <row r="1229" spans="1:9" s="18" customFormat="1" ht="11.1" hidden="1" customHeight="1" outlineLevel="2" collapsed="1" x14ac:dyDescent="0.2">
      <c r="A1229" s="108" t="s">
        <v>1018</v>
      </c>
      <c r="B1229" s="108"/>
      <c r="C1229" s="108"/>
      <c r="D1229" s="108"/>
      <c r="E1229" s="28" t="s">
        <v>547</v>
      </c>
      <c r="F1229" s="29">
        <v>1</v>
      </c>
      <c r="G1229" s="30">
        <v>10284.790000000001</v>
      </c>
      <c r="H1229" s="49"/>
      <c r="I1229" s="30">
        <v>10284.790000000001</v>
      </c>
    </row>
    <row r="1230" spans="1:9" s="18" customFormat="1" ht="11.1" hidden="1" customHeight="1" outlineLevel="1" collapsed="1" x14ac:dyDescent="0.2">
      <c r="A1230" s="107" t="s">
        <v>1024</v>
      </c>
      <c r="B1230" s="107"/>
      <c r="C1230" s="107"/>
      <c r="D1230" s="107"/>
      <c r="E1230" s="107"/>
      <c r="F1230" s="25">
        <v>1</v>
      </c>
      <c r="G1230" s="26">
        <v>77856.34</v>
      </c>
      <c r="H1230" s="48"/>
      <c r="I1230" s="26">
        <v>77856.34</v>
      </c>
    </row>
    <row r="1231" spans="1:9" s="18" customFormat="1" ht="11.1" hidden="1" customHeight="1" outlineLevel="2" collapsed="1" x14ac:dyDescent="0.2">
      <c r="A1231" s="108" t="s">
        <v>1025</v>
      </c>
      <c r="B1231" s="108"/>
      <c r="C1231" s="108"/>
      <c r="D1231" s="108"/>
      <c r="E1231" s="28" t="s">
        <v>547</v>
      </c>
      <c r="F1231" s="29">
        <v>1</v>
      </c>
      <c r="G1231" s="30">
        <v>77856.34</v>
      </c>
      <c r="H1231" s="49"/>
      <c r="I1231" s="30">
        <v>77856.34</v>
      </c>
    </row>
    <row r="1232" spans="1:9" s="18" customFormat="1" ht="11.1" hidden="1" customHeight="1" outlineLevel="1" collapsed="1" x14ac:dyDescent="0.2">
      <c r="A1232" s="107" t="s">
        <v>1026</v>
      </c>
      <c r="B1232" s="107"/>
      <c r="C1232" s="107"/>
      <c r="D1232" s="107"/>
      <c r="E1232" s="107"/>
      <c r="F1232" s="25">
        <v>2</v>
      </c>
      <c r="G1232" s="26">
        <v>23664.32</v>
      </c>
      <c r="H1232" s="48"/>
      <c r="I1232" s="26">
        <v>23664.32</v>
      </c>
    </row>
    <row r="1233" spans="1:9" s="18" customFormat="1" ht="11.1" hidden="1" customHeight="1" outlineLevel="2" collapsed="1" x14ac:dyDescent="0.2">
      <c r="A1233" s="108" t="s">
        <v>1027</v>
      </c>
      <c r="B1233" s="108"/>
      <c r="C1233" s="108"/>
      <c r="D1233" s="108"/>
      <c r="E1233" s="28" t="s">
        <v>547</v>
      </c>
      <c r="F1233" s="29">
        <v>2</v>
      </c>
      <c r="G1233" s="30">
        <v>23664.32</v>
      </c>
      <c r="H1233" s="49"/>
      <c r="I1233" s="30">
        <v>23664.32</v>
      </c>
    </row>
    <row r="1234" spans="1:9" s="18" customFormat="1" ht="11.1" hidden="1" customHeight="1" outlineLevel="1" collapsed="1" x14ac:dyDescent="0.2">
      <c r="A1234" s="107" t="s">
        <v>1028</v>
      </c>
      <c r="B1234" s="107"/>
      <c r="C1234" s="107"/>
      <c r="D1234" s="107"/>
      <c r="E1234" s="107"/>
      <c r="F1234" s="25">
        <v>2</v>
      </c>
      <c r="G1234" s="26">
        <v>16233.54</v>
      </c>
      <c r="H1234" s="48"/>
      <c r="I1234" s="26">
        <v>16233.54</v>
      </c>
    </row>
    <row r="1235" spans="1:9" s="18" customFormat="1" ht="11.1" hidden="1" customHeight="1" outlineLevel="2" collapsed="1" x14ac:dyDescent="0.2">
      <c r="A1235" s="108" t="s">
        <v>1029</v>
      </c>
      <c r="B1235" s="108"/>
      <c r="C1235" s="108"/>
      <c r="D1235" s="108"/>
      <c r="E1235" s="28" t="s">
        <v>547</v>
      </c>
      <c r="F1235" s="29">
        <v>2</v>
      </c>
      <c r="G1235" s="30">
        <v>16233.54</v>
      </c>
      <c r="H1235" s="49"/>
      <c r="I1235" s="30">
        <v>16233.54</v>
      </c>
    </row>
    <row r="1236" spans="1:9" s="18" customFormat="1" ht="11.1" hidden="1" customHeight="1" outlineLevel="1" collapsed="1" x14ac:dyDescent="0.2">
      <c r="A1236" s="107" t="s">
        <v>1030</v>
      </c>
      <c r="B1236" s="107"/>
      <c r="C1236" s="107"/>
      <c r="D1236" s="107"/>
      <c r="E1236" s="107"/>
      <c r="F1236" s="25">
        <v>2</v>
      </c>
      <c r="G1236" s="26">
        <v>16264.32</v>
      </c>
      <c r="H1236" s="48"/>
      <c r="I1236" s="26">
        <v>16264.32</v>
      </c>
    </row>
    <row r="1237" spans="1:9" s="18" customFormat="1" ht="11.1" hidden="1" customHeight="1" outlineLevel="2" collapsed="1" x14ac:dyDescent="0.2">
      <c r="A1237" s="108" t="s">
        <v>1031</v>
      </c>
      <c r="B1237" s="108"/>
      <c r="C1237" s="108"/>
      <c r="D1237" s="108"/>
      <c r="E1237" s="28" t="s">
        <v>547</v>
      </c>
      <c r="F1237" s="29">
        <v>2</v>
      </c>
      <c r="G1237" s="30">
        <v>16264.32</v>
      </c>
      <c r="H1237" s="49"/>
      <c r="I1237" s="30">
        <v>16264.32</v>
      </c>
    </row>
    <row r="1238" spans="1:9" s="18" customFormat="1" ht="11.1" hidden="1" customHeight="1" outlineLevel="1" collapsed="1" x14ac:dyDescent="0.2">
      <c r="A1238" s="107" t="s">
        <v>1032</v>
      </c>
      <c r="B1238" s="107"/>
      <c r="C1238" s="107"/>
      <c r="D1238" s="107"/>
      <c r="E1238" s="107"/>
      <c r="F1238" s="25">
        <v>2</v>
      </c>
      <c r="G1238" s="26">
        <v>264009.76</v>
      </c>
      <c r="H1238" s="48"/>
      <c r="I1238" s="26">
        <v>264009.76</v>
      </c>
    </row>
    <row r="1239" spans="1:9" s="18" customFormat="1" ht="11.1" hidden="1" customHeight="1" outlineLevel="2" collapsed="1" x14ac:dyDescent="0.2">
      <c r="A1239" s="108" t="s">
        <v>1033</v>
      </c>
      <c r="B1239" s="108"/>
      <c r="C1239" s="108"/>
      <c r="D1239" s="108"/>
      <c r="E1239" s="28" t="s">
        <v>547</v>
      </c>
      <c r="F1239" s="29">
        <v>2</v>
      </c>
      <c r="G1239" s="30">
        <v>264009.76</v>
      </c>
      <c r="H1239" s="49"/>
      <c r="I1239" s="30">
        <v>264009.76</v>
      </c>
    </row>
    <row r="1240" spans="1:9" s="18" customFormat="1" ht="11.1" hidden="1" customHeight="1" outlineLevel="1" collapsed="1" x14ac:dyDescent="0.2">
      <c r="A1240" s="107" t="s">
        <v>1034</v>
      </c>
      <c r="B1240" s="107"/>
      <c r="C1240" s="107"/>
      <c r="D1240" s="107"/>
      <c r="E1240" s="107"/>
      <c r="F1240" s="25">
        <v>15</v>
      </c>
      <c r="G1240" s="26">
        <v>15961.89</v>
      </c>
      <c r="H1240" s="48"/>
      <c r="I1240" s="26">
        <v>15961.89</v>
      </c>
    </row>
    <row r="1241" spans="1:9" s="18" customFormat="1" ht="21.95" hidden="1" customHeight="1" outlineLevel="2" x14ac:dyDescent="0.2">
      <c r="A1241" s="108" t="s">
        <v>936</v>
      </c>
      <c r="B1241" s="108"/>
      <c r="C1241" s="108"/>
      <c r="D1241" s="108"/>
      <c r="E1241" s="28" t="s">
        <v>547</v>
      </c>
      <c r="F1241" s="29">
        <v>14</v>
      </c>
      <c r="G1241" s="30">
        <v>11455.08</v>
      </c>
      <c r="H1241" s="49"/>
      <c r="I1241" s="30">
        <v>11455.08</v>
      </c>
    </row>
    <row r="1242" spans="1:9" s="18" customFormat="1" ht="11.1" hidden="1" customHeight="1" outlineLevel="2" collapsed="1" x14ac:dyDescent="0.2">
      <c r="A1242" s="108" t="s">
        <v>1035</v>
      </c>
      <c r="B1242" s="108"/>
      <c r="C1242" s="108"/>
      <c r="D1242" s="108"/>
      <c r="E1242" s="28" t="s">
        <v>547</v>
      </c>
      <c r="F1242" s="29">
        <v>1</v>
      </c>
      <c r="G1242" s="30">
        <v>4506.8100000000004</v>
      </c>
      <c r="H1242" s="49"/>
      <c r="I1242" s="30">
        <v>4506.8100000000004</v>
      </c>
    </row>
    <row r="1243" spans="1:9" s="18" customFormat="1" ht="11.1" hidden="1" customHeight="1" outlineLevel="1" collapsed="1" x14ac:dyDescent="0.2">
      <c r="A1243" s="107" t="s">
        <v>1036</v>
      </c>
      <c r="B1243" s="107"/>
      <c r="C1243" s="107"/>
      <c r="D1243" s="107"/>
      <c r="E1243" s="107"/>
      <c r="F1243" s="25">
        <v>10</v>
      </c>
      <c r="G1243" s="26">
        <v>37985.339999999997</v>
      </c>
      <c r="H1243" s="48"/>
      <c r="I1243" s="26">
        <v>37985.339999999997</v>
      </c>
    </row>
    <row r="1244" spans="1:9" s="18" customFormat="1" ht="11.1" hidden="1" customHeight="1" outlineLevel="2" x14ac:dyDescent="0.2">
      <c r="A1244" s="108" t="s">
        <v>1037</v>
      </c>
      <c r="B1244" s="108"/>
      <c r="C1244" s="108"/>
      <c r="D1244" s="108"/>
      <c r="E1244" s="28" t="s">
        <v>547</v>
      </c>
      <c r="F1244" s="29">
        <v>4</v>
      </c>
      <c r="G1244" s="30">
        <v>15602.44</v>
      </c>
      <c r="H1244" s="49"/>
      <c r="I1244" s="30">
        <v>15602.44</v>
      </c>
    </row>
    <row r="1245" spans="1:9" s="18" customFormat="1" ht="11.1" hidden="1" customHeight="1" outlineLevel="2" x14ac:dyDescent="0.2">
      <c r="A1245" s="108" t="s">
        <v>1038</v>
      </c>
      <c r="B1245" s="108"/>
      <c r="C1245" s="108"/>
      <c r="D1245" s="108"/>
      <c r="E1245" s="28" t="s">
        <v>547</v>
      </c>
      <c r="F1245" s="29">
        <v>1</v>
      </c>
      <c r="G1245" s="30">
        <v>13107.35</v>
      </c>
      <c r="H1245" s="49"/>
      <c r="I1245" s="30">
        <v>13107.35</v>
      </c>
    </row>
    <row r="1246" spans="1:9" s="18" customFormat="1" ht="11.1" hidden="1" customHeight="1" outlineLevel="2" collapsed="1" x14ac:dyDescent="0.2">
      <c r="A1246" s="108" t="s">
        <v>824</v>
      </c>
      <c r="B1246" s="108"/>
      <c r="C1246" s="108"/>
      <c r="D1246" s="108"/>
      <c r="E1246" s="28" t="s">
        <v>547</v>
      </c>
      <c r="F1246" s="29">
        <v>5</v>
      </c>
      <c r="G1246" s="30">
        <v>9275.5499999999993</v>
      </c>
      <c r="H1246" s="49"/>
      <c r="I1246" s="30">
        <v>9275.5499999999993</v>
      </c>
    </row>
    <row r="1247" spans="1:9" s="18" customFormat="1" ht="11.1" hidden="1" customHeight="1" outlineLevel="1" collapsed="1" x14ac:dyDescent="0.2">
      <c r="A1247" s="107" t="s">
        <v>1039</v>
      </c>
      <c r="B1247" s="107"/>
      <c r="C1247" s="107"/>
      <c r="D1247" s="107"/>
      <c r="E1247" s="107"/>
      <c r="F1247" s="25">
        <v>70</v>
      </c>
      <c r="G1247" s="39">
        <v>20927.2</v>
      </c>
      <c r="H1247" s="48"/>
      <c r="I1247" s="39">
        <v>20927.2</v>
      </c>
    </row>
    <row r="1248" spans="1:9" s="18" customFormat="1" ht="11.1" hidden="1" customHeight="1" outlineLevel="2" collapsed="1" x14ac:dyDescent="0.2">
      <c r="A1248" s="108" t="s">
        <v>830</v>
      </c>
      <c r="B1248" s="108"/>
      <c r="C1248" s="108"/>
      <c r="D1248" s="108"/>
      <c r="E1248" s="28" t="s">
        <v>547</v>
      </c>
      <c r="F1248" s="29">
        <v>70</v>
      </c>
      <c r="G1248" s="30">
        <v>20927.2</v>
      </c>
      <c r="H1248" s="49"/>
      <c r="I1248" s="30">
        <v>20927.2</v>
      </c>
    </row>
    <row r="1249" spans="1:9" s="18" customFormat="1" ht="11.1" hidden="1" customHeight="1" outlineLevel="1" collapsed="1" x14ac:dyDescent="0.2">
      <c r="A1249" s="107" t="s">
        <v>1040</v>
      </c>
      <c r="B1249" s="107"/>
      <c r="C1249" s="107"/>
      <c r="D1249" s="107"/>
      <c r="E1249" s="107"/>
      <c r="F1249" s="25">
        <v>16</v>
      </c>
      <c r="G1249" s="26">
        <v>235509.04</v>
      </c>
      <c r="H1249" s="48"/>
      <c r="I1249" s="26">
        <v>235509.04</v>
      </c>
    </row>
    <row r="1250" spans="1:9" s="18" customFormat="1" ht="11.1" hidden="1" customHeight="1" outlineLevel="2" x14ac:dyDescent="0.2">
      <c r="A1250" s="108" t="s">
        <v>1041</v>
      </c>
      <c r="B1250" s="108"/>
      <c r="C1250" s="108"/>
      <c r="D1250" s="108"/>
      <c r="E1250" s="28" t="s">
        <v>547</v>
      </c>
      <c r="F1250" s="29">
        <v>8</v>
      </c>
      <c r="G1250" s="30">
        <v>30019.360000000001</v>
      </c>
      <c r="H1250" s="49"/>
      <c r="I1250" s="30">
        <v>30019.360000000001</v>
      </c>
    </row>
    <row r="1251" spans="1:9" s="18" customFormat="1" ht="11.1" hidden="1" customHeight="1" outlineLevel="2" collapsed="1" x14ac:dyDescent="0.2">
      <c r="A1251" s="108" t="s">
        <v>1042</v>
      </c>
      <c r="B1251" s="108"/>
      <c r="C1251" s="108"/>
      <c r="D1251" s="108"/>
      <c r="E1251" s="28" t="s">
        <v>547</v>
      </c>
      <c r="F1251" s="29">
        <v>8</v>
      </c>
      <c r="G1251" s="30">
        <v>205489.68</v>
      </c>
      <c r="H1251" s="49"/>
      <c r="I1251" s="30">
        <v>205489.68</v>
      </c>
    </row>
    <row r="1252" spans="1:9" s="18" customFormat="1" ht="11.1" hidden="1" customHeight="1" outlineLevel="1" collapsed="1" x14ac:dyDescent="0.2">
      <c r="A1252" s="107" t="s">
        <v>1043</v>
      </c>
      <c r="B1252" s="107"/>
      <c r="C1252" s="107"/>
      <c r="D1252" s="107"/>
      <c r="E1252" s="107"/>
      <c r="F1252" s="25">
        <v>12</v>
      </c>
      <c r="G1252" s="26">
        <v>5721.93</v>
      </c>
      <c r="H1252" s="48"/>
      <c r="I1252" s="26">
        <v>5721.93</v>
      </c>
    </row>
    <row r="1253" spans="1:9" s="18" customFormat="1" ht="21.95" hidden="1" customHeight="1" outlineLevel="2" x14ac:dyDescent="0.2">
      <c r="A1253" s="108" t="s">
        <v>822</v>
      </c>
      <c r="B1253" s="108"/>
      <c r="C1253" s="108"/>
      <c r="D1253" s="108"/>
      <c r="E1253" s="28" t="s">
        <v>547</v>
      </c>
      <c r="F1253" s="29">
        <v>5</v>
      </c>
      <c r="G1253" s="30">
        <v>1839.8</v>
      </c>
      <c r="H1253" s="49"/>
      <c r="I1253" s="30">
        <v>1839.8</v>
      </c>
    </row>
    <row r="1254" spans="1:9" s="18" customFormat="1" ht="21.95" hidden="1" customHeight="1" outlineLevel="2" collapsed="1" x14ac:dyDescent="0.2">
      <c r="A1254" s="108" t="s">
        <v>874</v>
      </c>
      <c r="B1254" s="108"/>
      <c r="C1254" s="108"/>
      <c r="D1254" s="108"/>
      <c r="E1254" s="28" t="s">
        <v>547</v>
      </c>
      <c r="F1254" s="29">
        <v>7</v>
      </c>
      <c r="G1254" s="30">
        <v>3882.13</v>
      </c>
      <c r="H1254" s="49"/>
      <c r="I1254" s="30">
        <v>3882.13</v>
      </c>
    </row>
    <row r="1255" spans="1:9" s="18" customFormat="1" ht="11.1" hidden="1" customHeight="1" outlineLevel="1" collapsed="1" x14ac:dyDescent="0.2">
      <c r="A1255" s="107" t="s">
        <v>1044</v>
      </c>
      <c r="B1255" s="107"/>
      <c r="C1255" s="107"/>
      <c r="D1255" s="107"/>
      <c r="E1255" s="107"/>
      <c r="F1255" s="25">
        <v>10</v>
      </c>
      <c r="G1255" s="39">
        <v>364149.3</v>
      </c>
      <c r="H1255" s="48"/>
      <c r="I1255" s="39">
        <v>364149.3</v>
      </c>
    </row>
    <row r="1256" spans="1:9" s="18" customFormat="1" ht="11.1" hidden="1" customHeight="1" outlineLevel="2" x14ac:dyDescent="0.2">
      <c r="A1256" s="108" t="s">
        <v>1045</v>
      </c>
      <c r="B1256" s="108"/>
      <c r="C1256" s="108"/>
      <c r="D1256" s="108"/>
      <c r="E1256" s="28" t="s">
        <v>547</v>
      </c>
      <c r="F1256" s="29">
        <v>2</v>
      </c>
      <c r="G1256" s="30">
        <v>195826.38</v>
      </c>
      <c r="H1256" s="49"/>
      <c r="I1256" s="30">
        <v>195826.38</v>
      </c>
    </row>
    <row r="1257" spans="1:9" s="18" customFormat="1" ht="11.1" hidden="1" customHeight="1" outlineLevel="2" x14ac:dyDescent="0.2">
      <c r="A1257" s="108" t="s">
        <v>1045</v>
      </c>
      <c r="B1257" s="108"/>
      <c r="C1257" s="108"/>
      <c r="D1257" s="108"/>
      <c r="E1257" s="28" t="s">
        <v>547</v>
      </c>
      <c r="F1257" s="29">
        <v>1</v>
      </c>
      <c r="G1257" s="30">
        <v>101422.29</v>
      </c>
      <c r="H1257" s="49"/>
      <c r="I1257" s="30">
        <v>101422.29</v>
      </c>
    </row>
    <row r="1258" spans="1:9" s="18" customFormat="1" ht="11.1" hidden="1" customHeight="1" outlineLevel="2" x14ac:dyDescent="0.2">
      <c r="A1258" s="108" t="s">
        <v>1046</v>
      </c>
      <c r="B1258" s="108"/>
      <c r="C1258" s="108"/>
      <c r="D1258" s="108"/>
      <c r="E1258" s="28" t="s">
        <v>547</v>
      </c>
      <c r="F1258" s="29">
        <v>5</v>
      </c>
      <c r="G1258" s="30">
        <v>16086.15</v>
      </c>
      <c r="H1258" s="49"/>
      <c r="I1258" s="30">
        <v>16086.15</v>
      </c>
    </row>
    <row r="1259" spans="1:9" s="18" customFormat="1" ht="11.1" hidden="1" customHeight="1" outlineLevel="2" collapsed="1" x14ac:dyDescent="0.2">
      <c r="A1259" s="108" t="s">
        <v>1047</v>
      </c>
      <c r="B1259" s="108"/>
      <c r="C1259" s="108"/>
      <c r="D1259" s="108"/>
      <c r="E1259" s="28" t="s">
        <v>547</v>
      </c>
      <c r="F1259" s="29">
        <v>2</v>
      </c>
      <c r="G1259" s="30">
        <v>50814.48</v>
      </c>
      <c r="H1259" s="49"/>
      <c r="I1259" s="30">
        <v>50814.48</v>
      </c>
    </row>
    <row r="1260" spans="1:9" s="18" customFormat="1" ht="11.1" hidden="1" customHeight="1" outlineLevel="1" collapsed="1" x14ac:dyDescent="0.2">
      <c r="A1260" s="107" t="s">
        <v>1048</v>
      </c>
      <c r="B1260" s="107"/>
      <c r="C1260" s="107"/>
      <c r="D1260" s="107"/>
      <c r="E1260" s="107"/>
      <c r="F1260" s="25">
        <v>2</v>
      </c>
      <c r="G1260" s="26">
        <v>23233.94</v>
      </c>
      <c r="H1260" s="48"/>
      <c r="I1260" s="26">
        <v>23233.94</v>
      </c>
    </row>
    <row r="1261" spans="1:9" s="18" customFormat="1" ht="11.1" hidden="1" customHeight="1" outlineLevel="2" collapsed="1" x14ac:dyDescent="0.2">
      <c r="A1261" s="108" t="s">
        <v>881</v>
      </c>
      <c r="B1261" s="108"/>
      <c r="C1261" s="108"/>
      <c r="D1261" s="108"/>
      <c r="E1261" s="28" t="s">
        <v>547</v>
      </c>
      <c r="F1261" s="29">
        <v>2</v>
      </c>
      <c r="G1261" s="30">
        <v>23233.94</v>
      </c>
      <c r="H1261" s="49"/>
      <c r="I1261" s="30">
        <v>23233.94</v>
      </c>
    </row>
    <row r="1262" spans="1:9" s="18" customFormat="1" ht="11.1" hidden="1" customHeight="1" outlineLevel="1" collapsed="1" x14ac:dyDescent="0.2">
      <c r="A1262" s="107" t="s">
        <v>1049</v>
      </c>
      <c r="B1262" s="107"/>
      <c r="C1262" s="107"/>
      <c r="D1262" s="107"/>
      <c r="E1262" s="107"/>
      <c r="F1262" s="25">
        <v>1</v>
      </c>
      <c r="G1262" s="26">
        <v>63143.12</v>
      </c>
      <c r="H1262" s="48"/>
      <c r="I1262" s="26">
        <v>63143.12</v>
      </c>
    </row>
    <row r="1263" spans="1:9" s="18" customFormat="1" ht="11.1" hidden="1" customHeight="1" outlineLevel="2" collapsed="1" x14ac:dyDescent="0.2">
      <c r="A1263" s="108" t="s">
        <v>968</v>
      </c>
      <c r="B1263" s="108"/>
      <c r="C1263" s="108"/>
      <c r="D1263" s="108"/>
      <c r="E1263" s="28" t="s">
        <v>547</v>
      </c>
      <c r="F1263" s="29">
        <v>1</v>
      </c>
      <c r="G1263" s="30">
        <v>63143.12</v>
      </c>
      <c r="H1263" s="49"/>
      <c r="I1263" s="30">
        <v>63143.12</v>
      </c>
    </row>
    <row r="1264" spans="1:9" s="18" customFormat="1" ht="11.1" hidden="1" customHeight="1" outlineLevel="1" collapsed="1" x14ac:dyDescent="0.2">
      <c r="A1264" s="107" t="s">
        <v>1050</v>
      </c>
      <c r="B1264" s="107"/>
      <c r="C1264" s="107"/>
      <c r="D1264" s="107"/>
      <c r="E1264" s="107"/>
      <c r="F1264" s="25">
        <v>1</v>
      </c>
      <c r="G1264" s="26">
        <v>61587.56</v>
      </c>
      <c r="H1264" s="48"/>
      <c r="I1264" s="26">
        <v>61587.56</v>
      </c>
    </row>
    <row r="1265" spans="1:9" s="18" customFormat="1" ht="11.1" hidden="1" customHeight="1" outlineLevel="2" collapsed="1" x14ac:dyDescent="0.2">
      <c r="A1265" s="108" t="s">
        <v>968</v>
      </c>
      <c r="B1265" s="108"/>
      <c r="C1265" s="108"/>
      <c r="D1265" s="108"/>
      <c r="E1265" s="28" t="s">
        <v>547</v>
      </c>
      <c r="F1265" s="29">
        <v>1</v>
      </c>
      <c r="G1265" s="30">
        <v>61587.56</v>
      </c>
      <c r="H1265" s="49"/>
      <c r="I1265" s="30">
        <v>61587.56</v>
      </c>
    </row>
    <row r="1266" spans="1:9" s="18" customFormat="1" ht="11.1" hidden="1" customHeight="1" outlineLevel="1" collapsed="1" x14ac:dyDescent="0.2">
      <c r="A1266" s="107" t="s">
        <v>1051</v>
      </c>
      <c r="B1266" s="107"/>
      <c r="C1266" s="107"/>
      <c r="D1266" s="107"/>
      <c r="E1266" s="107"/>
      <c r="F1266" s="25">
        <v>5</v>
      </c>
      <c r="G1266" s="26">
        <v>27670.05</v>
      </c>
      <c r="H1266" s="48"/>
      <c r="I1266" s="26">
        <v>27670.05</v>
      </c>
    </row>
    <row r="1267" spans="1:9" s="18" customFormat="1" ht="11.1" hidden="1" customHeight="1" outlineLevel="2" collapsed="1" x14ac:dyDescent="0.2">
      <c r="A1267" s="108" t="s">
        <v>1052</v>
      </c>
      <c r="B1267" s="108"/>
      <c r="C1267" s="108"/>
      <c r="D1267" s="108"/>
      <c r="E1267" s="28" t="s">
        <v>547</v>
      </c>
      <c r="F1267" s="29">
        <v>5</v>
      </c>
      <c r="G1267" s="30">
        <v>27670.05</v>
      </c>
      <c r="H1267" s="49"/>
      <c r="I1267" s="30">
        <v>27670.05</v>
      </c>
    </row>
    <row r="1268" spans="1:9" s="18" customFormat="1" ht="11.1" hidden="1" customHeight="1" outlineLevel="1" collapsed="1" x14ac:dyDescent="0.2">
      <c r="A1268" s="107" t="s">
        <v>1053</v>
      </c>
      <c r="B1268" s="107"/>
      <c r="C1268" s="107"/>
      <c r="D1268" s="107"/>
      <c r="E1268" s="107"/>
      <c r="F1268" s="25">
        <v>297</v>
      </c>
      <c r="G1268" s="26">
        <v>269142.55</v>
      </c>
      <c r="H1268" s="48"/>
      <c r="I1268" s="26">
        <v>269142.55</v>
      </c>
    </row>
    <row r="1269" spans="1:9" s="18" customFormat="1" ht="11.1" hidden="1" customHeight="1" outlineLevel="2" x14ac:dyDescent="0.2">
      <c r="A1269" s="108" t="s">
        <v>1054</v>
      </c>
      <c r="B1269" s="108"/>
      <c r="C1269" s="108"/>
      <c r="D1269" s="108"/>
      <c r="E1269" s="28" t="s">
        <v>547</v>
      </c>
      <c r="F1269" s="29">
        <v>5</v>
      </c>
      <c r="G1269" s="30">
        <v>3031.55</v>
      </c>
      <c r="H1269" s="49"/>
      <c r="I1269" s="30">
        <v>3031.55</v>
      </c>
    </row>
    <row r="1270" spans="1:9" s="18" customFormat="1" ht="11.1" hidden="1" customHeight="1" outlineLevel="2" x14ac:dyDescent="0.2">
      <c r="A1270" s="108" t="s">
        <v>1055</v>
      </c>
      <c r="B1270" s="108"/>
      <c r="C1270" s="108"/>
      <c r="D1270" s="108"/>
      <c r="E1270" s="28" t="s">
        <v>547</v>
      </c>
      <c r="F1270" s="29">
        <v>5</v>
      </c>
      <c r="G1270" s="30">
        <v>20198.05</v>
      </c>
      <c r="H1270" s="49"/>
      <c r="I1270" s="30">
        <v>20198.05</v>
      </c>
    </row>
    <row r="1271" spans="1:9" s="18" customFormat="1" ht="11.1" hidden="1" customHeight="1" outlineLevel="2" x14ac:dyDescent="0.2">
      <c r="A1271" s="108" t="s">
        <v>1056</v>
      </c>
      <c r="B1271" s="108"/>
      <c r="C1271" s="108"/>
      <c r="D1271" s="108"/>
      <c r="E1271" s="28" t="s">
        <v>547</v>
      </c>
      <c r="F1271" s="29">
        <v>10</v>
      </c>
      <c r="G1271" s="30">
        <v>2680.4</v>
      </c>
      <c r="H1271" s="49"/>
      <c r="I1271" s="30">
        <v>2680.4</v>
      </c>
    </row>
    <row r="1272" spans="1:9" s="18" customFormat="1" ht="11.1" hidden="1" customHeight="1" outlineLevel="2" x14ac:dyDescent="0.2">
      <c r="A1272" s="108" t="s">
        <v>1057</v>
      </c>
      <c r="B1272" s="108"/>
      <c r="C1272" s="108"/>
      <c r="D1272" s="108"/>
      <c r="E1272" s="28" t="s">
        <v>547</v>
      </c>
      <c r="F1272" s="29">
        <v>1</v>
      </c>
      <c r="G1272" s="30">
        <v>1249.3399999999999</v>
      </c>
      <c r="H1272" s="49"/>
      <c r="I1272" s="30">
        <v>1249.3399999999999</v>
      </c>
    </row>
    <row r="1273" spans="1:9" s="18" customFormat="1" ht="11.1" hidden="1" customHeight="1" outlineLevel="2" x14ac:dyDescent="0.2">
      <c r="A1273" s="108" t="s">
        <v>1057</v>
      </c>
      <c r="B1273" s="108"/>
      <c r="C1273" s="108"/>
      <c r="D1273" s="108"/>
      <c r="E1273" s="28" t="s">
        <v>547</v>
      </c>
      <c r="F1273" s="29">
        <v>1</v>
      </c>
      <c r="G1273" s="30">
        <v>1216.82</v>
      </c>
      <c r="H1273" s="49"/>
      <c r="I1273" s="30">
        <v>1216.82</v>
      </c>
    </row>
    <row r="1274" spans="1:9" s="18" customFormat="1" ht="11.1" hidden="1" customHeight="1" outlineLevel="2" x14ac:dyDescent="0.2">
      <c r="A1274" s="108" t="s">
        <v>1057</v>
      </c>
      <c r="B1274" s="108"/>
      <c r="C1274" s="108"/>
      <c r="D1274" s="108"/>
      <c r="E1274" s="28" t="s">
        <v>547</v>
      </c>
      <c r="F1274" s="29">
        <v>3</v>
      </c>
      <c r="G1274" s="30">
        <v>3780.51</v>
      </c>
      <c r="H1274" s="49"/>
      <c r="I1274" s="30">
        <v>3780.51</v>
      </c>
    </row>
    <row r="1275" spans="1:9" s="18" customFormat="1" ht="11.1" hidden="1" customHeight="1" outlineLevel="2" x14ac:dyDescent="0.2">
      <c r="A1275" s="108" t="s">
        <v>965</v>
      </c>
      <c r="B1275" s="108"/>
      <c r="C1275" s="108"/>
      <c r="D1275" s="108"/>
      <c r="E1275" s="28" t="s">
        <v>547</v>
      </c>
      <c r="F1275" s="29">
        <v>30</v>
      </c>
      <c r="G1275" s="30">
        <v>15706.5</v>
      </c>
      <c r="H1275" s="49"/>
      <c r="I1275" s="30">
        <v>15706.5</v>
      </c>
    </row>
    <row r="1276" spans="1:9" s="18" customFormat="1" ht="11.1" hidden="1" customHeight="1" outlineLevel="2" x14ac:dyDescent="0.2">
      <c r="A1276" s="108" t="s">
        <v>830</v>
      </c>
      <c r="B1276" s="108"/>
      <c r="C1276" s="108"/>
      <c r="D1276" s="108"/>
      <c r="E1276" s="28" t="s">
        <v>547</v>
      </c>
      <c r="F1276" s="29">
        <v>200</v>
      </c>
      <c r="G1276" s="30">
        <v>60196</v>
      </c>
      <c r="H1276" s="49"/>
      <c r="I1276" s="30">
        <v>60196</v>
      </c>
    </row>
    <row r="1277" spans="1:9" s="18" customFormat="1" ht="11.1" hidden="1" customHeight="1" outlineLevel="2" x14ac:dyDescent="0.2">
      <c r="A1277" s="108" t="s">
        <v>1058</v>
      </c>
      <c r="B1277" s="108"/>
      <c r="C1277" s="108"/>
      <c r="D1277" s="108"/>
      <c r="E1277" s="28" t="s">
        <v>547</v>
      </c>
      <c r="F1277" s="29">
        <v>20</v>
      </c>
      <c r="G1277" s="30">
        <v>3099.8</v>
      </c>
      <c r="H1277" s="49"/>
      <c r="I1277" s="30">
        <v>3099.8</v>
      </c>
    </row>
    <row r="1278" spans="1:9" s="18" customFormat="1" ht="11.1" hidden="1" customHeight="1" outlineLevel="2" x14ac:dyDescent="0.2">
      <c r="A1278" s="108" t="s">
        <v>824</v>
      </c>
      <c r="B1278" s="108"/>
      <c r="C1278" s="108"/>
      <c r="D1278" s="108"/>
      <c r="E1278" s="28" t="s">
        <v>547</v>
      </c>
      <c r="F1278" s="29">
        <v>10</v>
      </c>
      <c r="G1278" s="30">
        <v>18218.099999999999</v>
      </c>
      <c r="H1278" s="49"/>
      <c r="I1278" s="30">
        <v>18218.099999999999</v>
      </c>
    </row>
    <row r="1279" spans="1:9" s="18" customFormat="1" ht="11.1" hidden="1" customHeight="1" outlineLevel="2" x14ac:dyDescent="0.2">
      <c r="A1279" s="108" t="s">
        <v>1059</v>
      </c>
      <c r="B1279" s="108"/>
      <c r="C1279" s="108"/>
      <c r="D1279" s="108"/>
      <c r="E1279" s="28" t="s">
        <v>547</v>
      </c>
      <c r="F1279" s="29">
        <v>2</v>
      </c>
      <c r="G1279" s="30">
        <v>22630.58</v>
      </c>
      <c r="H1279" s="49"/>
      <c r="I1279" s="30">
        <v>22630.58</v>
      </c>
    </row>
    <row r="1280" spans="1:9" s="18" customFormat="1" ht="11.1" hidden="1" customHeight="1" outlineLevel="2" collapsed="1" x14ac:dyDescent="0.2">
      <c r="A1280" s="108" t="s">
        <v>1002</v>
      </c>
      <c r="B1280" s="108"/>
      <c r="C1280" s="108"/>
      <c r="D1280" s="108"/>
      <c r="E1280" s="28" t="s">
        <v>547</v>
      </c>
      <c r="F1280" s="29">
        <v>10</v>
      </c>
      <c r="G1280" s="30">
        <v>117134.9</v>
      </c>
      <c r="H1280" s="49"/>
      <c r="I1280" s="30">
        <v>117134.9</v>
      </c>
    </row>
    <row r="1281" spans="1:9" s="18" customFormat="1" ht="11.1" hidden="1" customHeight="1" outlineLevel="1" collapsed="1" x14ac:dyDescent="0.2">
      <c r="A1281" s="107" t="s">
        <v>1060</v>
      </c>
      <c r="B1281" s="107"/>
      <c r="C1281" s="107"/>
      <c r="D1281" s="107"/>
      <c r="E1281" s="107"/>
      <c r="F1281" s="25">
        <v>4</v>
      </c>
      <c r="G1281" s="26">
        <v>4055.52</v>
      </c>
      <c r="H1281" s="48"/>
      <c r="I1281" s="26">
        <v>4055.52</v>
      </c>
    </row>
    <row r="1282" spans="1:9" s="18" customFormat="1" ht="11.1" hidden="1" customHeight="1" outlineLevel="2" collapsed="1" x14ac:dyDescent="0.2">
      <c r="A1282" s="108" t="s">
        <v>1061</v>
      </c>
      <c r="B1282" s="108"/>
      <c r="C1282" s="108"/>
      <c r="D1282" s="108"/>
      <c r="E1282" s="28" t="s">
        <v>547</v>
      </c>
      <c r="F1282" s="29">
        <v>4</v>
      </c>
      <c r="G1282" s="30">
        <v>4055.52</v>
      </c>
      <c r="H1282" s="49"/>
      <c r="I1282" s="30">
        <v>4055.52</v>
      </c>
    </row>
    <row r="1283" spans="1:9" s="18" customFormat="1" ht="11.1" hidden="1" customHeight="1" outlineLevel="1" collapsed="1" x14ac:dyDescent="0.2">
      <c r="A1283" s="107" t="s">
        <v>1062</v>
      </c>
      <c r="B1283" s="107"/>
      <c r="C1283" s="107"/>
      <c r="D1283" s="107"/>
      <c r="E1283" s="107"/>
      <c r="F1283" s="25">
        <v>20</v>
      </c>
      <c r="G1283" s="39">
        <v>294806.40000000002</v>
      </c>
      <c r="H1283" s="48"/>
      <c r="I1283" s="39">
        <v>294806.40000000002</v>
      </c>
    </row>
    <row r="1284" spans="1:9" s="18" customFormat="1" ht="11.1" hidden="1" customHeight="1" outlineLevel="2" x14ac:dyDescent="0.2">
      <c r="A1284" s="108" t="s">
        <v>1041</v>
      </c>
      <c r="B1284" s="108"/>
      <c r="C1284" s="108"/>
      <c r="D1284" s="108"/>
      <c r="E1284" s="28" t="s">
        <v>547</v>
      </c>
      <c r="F1284" s="29">
        <v>10</v>
      </c>
      <c r="G1284" s="30">
        <v>37577.800000000003</v>
      </c>
      <c r="H1284" s="49"/>
      <c r="I1284" s="30">
        <v>37577.800000000003</v>
      </c>
    </row>
    <row r="1285" spans="1:9" s="18" customFormat="1" ht="11.1" hidden="1" customHeight="1" outlineLevel="2" collapsed="1" x14ac:dyDescent="0.2">
      <c r="A1285" s="108" t="s">
        <v>1042</v>
      </c>
      <c r="B1285" s="108"/>
      <c r="C1285" s="108"/>
      <c r="D1285" s="108"/>
      <c r="E1285" s="28" t="s">
        <v>547</v>
      </c>
      <c r="F1285" s="29">
        <v>10</v>
      </c>
      <c r="G1285" s="30">
        <v>257228.6</v>
      </c>
      <c r="H1285" s="49"/>
      <c r="I1285" s="30">
        <v>257228.6</v>
      </c>
    </row>
    <row r="1286" spans="1:9" s="18" customFormat="1" ht="11.1" hidden="1" customHeight="1" outlineLevel="1" collapsed="1" x14ac:dyDescent="0.2">
      <c r="A1286" s="107" t="s">
        <v>1063</v>
      </c>
      <c r="B1286" s="107"/>
      <c r="C1286" s="107"/>
      <c r="D1286" s="107"/>
      <c r="E1286" s="107"/>
      <c r="F1286" s="25">
        <v>4</v>
      </c>
      <c r="G1286" s="26">
        <v>102590.12</v>
      </c>
      <c r="H1286" s="48"/>
      <c r="I1286" s="26">
        <v>102590.12</v>
      </c>
    </row>
    <row r="1287" spans="1:9" s="18" customFormat="1" ht="11.1" hidden="1" customHeight="1" outlineLevel="2" collapsed="1" x14ac:dyDescent="0.2">
      <c r="A1287" s="108" t="s">
        <v>1042</v>
      </c>
      <c r="B1287" s="108"/>
      <c r="C1287" s="108"/>
      <c r="D1287" s="108"/>
      <c r="E1287" s="28" t="s">
        <v>547</v>
      </c>
      <c r="F1287" s="29">
        <v>4</v>
      </c>
      <c r="G1287" s="30">
        <v>102590.12</v>
      </c>
      <c r="H1287" s="49"/>
      <c r="I1287" s="30">
        <v>102590.12</v>
      </c>
    </row>
    <row r="1288" spans="1:9" s="18" customFormat="1" ht="11.1" hidden="1" customHeight="1" outlineLevel="1" collapsed="1" x14ac:dyDescent="0.2">
      <c r="A1288" s="107" t="s">
        <v>1064</v>
      </c>
      <c r="B1288" s="107"/>
      <c r="C1288" s="107"/>
      <c r="D1288" s="107"/>
      <c r="E1288" s="107"/>
      <c r="F1288" s="25">
        <v>3</v>
      </c>
      <c r="G1288" s="26">
        <v>44686.26</v>
      </c>
      <c r="H1288" s="48"/>
      <c r="I1288" s="26">
        <v>44686.26</v>
      </c>
    </row>
    <row r="1289" spans="1:9" s="18" customFormat="1" ht="11.1" hidden="1" customHeight="1" outlineLevel="2" x14ac:dyDescent="0.2">
      <c r="A1289" s="108" t="s">
        <v>900</v>
      </c>
      <c r="B1289" s="108"/>
      <c r="C1289" s="108"/>
      <c r="D1289" s="108"/>
      <c r="E1289" s="28" t="s">
        <v>547</v>
      </c>
      <c r="F1289" s="29">
        <v>1</v>
      </c>
      <c r="G1289" s="30">
        <v>4463.05</v>
      </c>
      <c r="H1289" s="49"/>
      <c r="I1289" s="30">
        <v>4463.05</v>
      </c>
    </row>
    <row r="1290" spans="1:9" s="18" customFormat="1" ht="11.1" hidden="1" customHeight="1" outlineLevel="2" x14ac:dyDescent="0.2">
      <c r="A1290" s="108" t="s">
        <v>1065</v>
      </c>
      <c r="B1290" s="108"/>
      <c r="C1290" s="108"/>
      <c r="D1290" s="108"/>
      <c r="E1290" s="28" t="s">
        <v>547</v>
      </c>
      <c r="F1290" s="29">
        <v>1</v>
      </c>
      <c r="G1290" s="30">
        <v>27453.31</v>
      </c>
      <c r="H1290" s="49"/>
      <c r="I1290" s="30">
        <v>27453.31</v>
      </c>
    </row>
    <row r="1291" spans="1:9" s="18" customFormat="1" ht="11.1" hidden="1" customHeight="1" outlineLevel="2" collapsed="1" x14ac:dyDescent="0.2">
      <c r="A1291" s="108" t="s">
        <v>902</v>
      </c>
      <c r="B1291" s="108"/>
      <c r="C1291" s="108"/>
      <c r="D1291" s="108"/>
      <c r="E1291" s="28" t="s">
        <v>547</v>
      </c>
      <c r="F1291" s="29">
        <v>1</v>
      </c>
      <c r="G1291" s="30">
        <v>12769.9</v>
      </c>
      <c r="H1291" s="49"/>
      <c r="I1291" s="30">
        <v>12769.9</v>
      </c>
    </row>
    <row r="1292" spans="1:9" s="18" customFormat="1" ht="11.1" hidden="1" customHeight="1" outlineLevel="1" collapsed="1" x14ac:dyDescent="0.2">
      <c r="A1292" s="107" t="s">
        <v>1066</v>
      </c>
      <c r="B1292" s="107"/>
      <c r="C1292" s="107"/>
      <c r="D1292" s="107"/>
      <c r="E1292" s="107"/>
      <c r="F1292" s="25">
        <v>10</v>
      </c>
      <c r="G1292" s="39">
        <v>7858.2</v>
      </c>
      <c r="H1292" s="48"/>
      <c r="I1292" s="39">
        <v>7858.2</v>
      </c>
    </row>
    <row r="1293" spans="1:9" s="18" customFormat="1" ht="21.95" hidden="1" customHeight="1" outlineLevel="2" collapsed="1" x14ac:dyDescent="0.2">
      <c r="A1293" s="108" t="s">
        <v>1067</v>
      </c>
      <c r="B1293" s="108"/>
      <c r="C1293" s="108"/>
      <c r="D1293" s="108"/>
      <c r="E1293" s="28" t="s">
        <v>547</v>
      </c>
      <c r="F1293" s="29">
        <v>10</v>
      </c>
      <c r="G1293" s="30">
        <v>7858.2</v>
      </c>
      <c r="H1293" s="49"/>
      <c r="I1293" s="30">
        <v>7858.2</v>
      </c>
    </row>
    <row r="1294" spans="1:9" s="18" customFormat="1" ht="11.1" hidden="1" customHeight="1" outlineLevel="1" collapsed="1" x14ac:dyDescent="0.2">
      <c r="A1294" s="107" t="s">
        <v>1068</v>
      </c>
      <c r="B1294" s="107"/>
      <c r="C1294" s="107"/>
      <c r="D1294" s="107"/>
      <c r="E1294" s="107"/>
      <c r="F1294" s="25">
        <v>4</v>
      </c>
      <c r="G1294" s="26">
        <v>102590.12</v>
      </c>
      <c r="H1294" s="48"/>
      <c r="I1294" s="26">
        <v>102590.12</v>
      </c>
    </row>
    <row r="1295" spans="1:9" s="18" customFormat="1" ht="11.1" hidden="1" customHeight="1" outlineLevel="2" collapsed="1" x14ac:dyDescent="0.2">
      <c r="A1295" s="108" t="s">
        <v>1042</v>
      </c>
      <c r="B1295" s="108"/>
      <c r="C1295" s="108"/>
      <c r="D1295" s="108"/>
      <c r="E1295" s="28" t="s">
        <v>547</v>
      </c>
      <c r="F1295" s="29">
        <v>4</v>
      </c>
      <c r="G1295" s="30">
        <v>102590.12</v>
      </c>
      <c r="H1295" s="49"/>
      <c r="I1295" s="30">
        <v>102590.12</v>
      </c>
    </row>
    <row r="1296" spans="1:9" s="18" customFormat="1" ht="11.1" hidden="1" customHeight="1" outlineLevel="1" collapsed="1" x14ac:dyDescent="0.2">
      <c r="A1296" s="107" t="s">
        <v>1069</v>
      </c>
      <c r="B1296" s="107"/>
      <c r="C1296" s="107"/>
      <c r="D1296" s="107"/>
      <c r="E1296" s="107"/>
      <c r="F1296" s="25">
        <v>3</v>
      </c>
      <c r="G1296" s="26">
        <v>30683.25</v>
      </c>
      <c r="H1296" s="48"/>
      <c r="I1296" s="26">
        <v>30683.25</v>
      </c>
    </row>
    <row r="1297" spans="1:9" s="18" customFormat="1" ht="11.1" hidden="1" customHeight="1" outlineLevel="2" x14ac:dyDescent="0.2">
      <c r="A1297" s="108" t="s">
        <v>1041</v>
      </c>
      <c r="B1297" s="108"/>
      <c r="C1297" s="108"/>
      <c r="D1297" s="108"/>
      <c r="E1297" s="28" t="s">
        <v>547</v>
      </c>
      <c r="F1297" s="29">
        <v>1</v>
      </c>
      <c r="G1297" s="30">
        <v>3746.78</v>
      </c>
      <c r="H1297" s="49"/>
      <c r="I1297" s="30">
        <v>3746.78</v>
      </c>
    </row>
    <row r="1298" spans="1:9" s="18" customFormat="1" ht="11.1" hidden="1" customHeight="1" outlineLevel="2" x14ac:dyDescent="0.2">
      <c r="A1298" s="108" t="s">
        <v>1042</v>
      </c>
      <c r="B1298" s="108"/>
      <c r="C1298" s="108"/>
      <c r="D1298" s="108"/>
      <c r="E1298" s="28" t="s">
        <v>547</v>
      </c>
      <c r="F1298" s="29">
        <v>1</v>
      </c>
      <c r="G1298" s="30">
        <v>25647.53</v>
      </c>
      <c r="H1298" s="49"/>
      <c r="I1298" s="30">
        <v>25647.53</v>
      </c>
    </row>
    <row r="1299" spans="1:9" s="18" customFormat="1" ht="11.1" hidden="1" customHeight="1" outlineLevel="2" collapsed="1" x14ac:dyDescent="0.2">
      <c r="A1299" s="108" t="s">
        <v>1070</v>
      </c>
      <c r="B1299" s="108"/>
      <c r="C1299" s="108"/>
      <c r="D1299" s="108"/>
      <c r="E1299" s="28" t="s">
        <v>547</v>
      </c>
      <c r="F1299" s="29">
        <v>1</v>
      </c>
      <c r="G1299" s="30">
        <v>1288.94</v>
      </c>
      <c r="H1299" s="49"/>
      <c r="I1299" s="30">
        <v>1288.94</v>
      </c>
    </row>
    <row r="1300" spans="1:9" s="18" customFormat="1" ht="11.1" hidden="1" customHeight="1" outlineLevel="1" collapsed="1" x14ac:dyDescent="0.2">
      <c r="A1300" s="107" t="s">
        <v>1071</v>
      </c>
      <c r="B1300" s="107"/>
      <c r="C1300" s="107"/>
      <c r="D1300" s="107"/>
      <c r="E1300" s="107"/>
      <c r="F1300" s="25">
        <v>2</v>
      </c>
      <c r="G1300" s="26">
        <v>29394.31</v>
      </c>
      <c r="H1300" s="48"/>
      <c r="I1300" s="26">
        <v>29394.31</v>
      </c>
    </row>
    <row r="1301" spans="1:9" s="18" customFormat="1" ht="11.1" hidden="1" customHeight="1" outlineLevel="2" x14ac:dyDescent="0.2">
      <c r="A1301" s="108" t="s">
        <v>1041</v>
      </c>
      <c r="B1301" s="108"/>
      <c r="C1301" s="108"/>
      <c r="D1301" s="108"/>
      <c r="E1301" s="28" t="s">
        <v>547</v>
      </c>
      <c r="F1301" s="29">
        <v>1</v>
      </c>
      <c r="G1301" s="30">
        <v>3746.78</v>
      </c>
      <c r="H1301" s="49"/>
      <c r="I1301" s="30">
        <v>3746.78</v>
      </c>
    </row>
    <row r="1302" spans="1:9" s="18" customFormat="1" ht="11.1" hidden="1" customHeight="1" outlineLevel="2" collapsed="1" x14ac:dyDescent="0.2">
      <c r="A1302" s="108" t="s">
        <v>1042</v>
      </c>
      <c r="B1302" s="108"/>
      <c r="C1302" s="108"/>
      <c r="D1302" s="108"/>
      <c r="E1302" s="28" t="s">
        <v>547</v>
      </c>
      <c r="F1302" s="29">
        <v>1</v>
      </c>
      <c r="G1302" s="30">
        <v>25647.53</v>
      </c>
      <c r="H1302" s="49"/>
      <c r="I1302" s="30">
        <v>25647.53</v>
      </c>
    </row>
    <row r="1303" spans="1:9" s="18" customFormat="1" ht="11.1" hidden="1" customHeight="1" outlineLevel="1" collapsed="1" x14ac:dyDescent="0.2">
      <c r="A1303" s="107" t="s">
        <v>1072</v>
      </c>
      <c r="B1303" s="107"/>
      <c r="C1303" s="107"/>
      <c r="D1303" s="107"/>
      <c r="E1303" s="107"/>
      <c r="F1303" s="25">
        <v>25</v>
      </c>
      <c r="G1303" s="26">
        <v>73217.149999999994</v>
      </c>
      <c r="H1303" s="48"/>
      <c r="I1303" s="26">
        <v>73217.149999999994</v>
      </c>
    </row>
    <row r="1304" spans="1:9" s="18" customFormat="1" ht="11.1" hidden="1" customHeight="1" outlineLevel="2" x14ac:dyDescent="0.2">
      <c r="A1304" s="108" t="s">
        <v>1073</v>
      </c>
      <c r="B1304" s="108"/>
      <c r="C1304" s="108"/>
      <c r="D1304" s="108"/>
      <c r="E1304" s="28" t="s">
        <v>547</v>
      </c>
      <c r="F1304" s="29">
        <v>5</v>
      </c>
      <c r="G1304" s="30">
        <v>58228.35</v>
      </c>
      <c r="H1304" s="49"/>
      <c r="I1304" s="30">
        <v>58228.35</v>
      </c>
    </row>
    <row r="1305" spans="1:9" s="18" customFormat="1" ht="11.1" hidden="1" customHeight="1" outlineLevel="2" x14ac:dyDescent="0.2">
      <c r="A1305" s="108" t="s">
        <v>502</v>
      </c>
      <c r="B1305" s="108"/>
      <c r="C1305" s="108"/>
      <c r="D1305" s="108"/>
      <c r="E1305" s="28" t="s">
        <v>547</v>
      </c>
      <c r="F1305" s="29">
        <v>10</v>
      </c>
      <c r="G1305" s="30">
        <v>5468.3</v>
      </c>
      <c r="H1305" s="49"/>
      <c r="I1305" s="30">
        <v>5468.3</v>
      </c>
    </row>
    <row r="1306" spans="1:9" s="18" customFormat="1" ht="11.1" hidden="1" customHeight="1" outlineLevel="2" collapsed="1" x14ac:dyDescent="0.2">
      <c r="A1306" s="108" t="s">
        <v>501</v>
      </c>
      <c r="B1306" s="108"/>
      <c r="C1306" s="108"/>
      <c r="D1306" s="108"/>
      <c r="E1306" s="28" t="s">
        <v>547</v>
      </c>
      <c r="F1306" s="29">
        <v>10</v>
      </c>
      <c r="G1306" s="30">
        <v>9520.5</v>
      </c>
      <c r="H1306" s="49"/>
      <c r="I1306" s="30">
        <v>9520.5</v>
      </c>
    </row>
    <row r="1307" spans="1:9" s="18" customFormat="1" ht="11.1" hidden="1" customHeight="1" outlineLevel="1" collapsed="1" x14ac:dyDescent="0.2">
      <c r="A1307" s="107" t="s">
        <v>1074</v>
      </c>
      <c r="B1307" s="107"/>
      <c r="C1307" s="107"/>
      <c r="D1307" s="107"/>
      <c r="E1307" s="107"/>
      <c r="F1307" s="25">
        <v>1</v>
      </c>
      <c r="G1307" s="26">
        <v>845856.15</v>
      </c>
      <c r="H1307" s="48"/>
      <c r="I1307" s="26">
        <v>845856.15</v>
      </c>
    </row>
    <row r="1308" spans="1:9" s="18" customFormat="1" ht="11.1" hidden="1" customHeight="1" outlineLevel="2" collapsed="1" x14ac:dyDescent="0.2">
      <c r="A1308" s="108" t="s">
        <v>1075</v>
      </c>
      <c r="B1308" s="108"/>
      <c r="C1308" s="108"/>
      <c r="D1308" s="108"/>
      <c r="E1308" s="28" t="s">
        <v>547</v>
      </c>
      <c r="F1308" s="29">
        <v>1</v>
      </c>
      <c r="G1308" s="30">
        <v>845856.15</v>
      </c>
      <c r="H1308" s="49"/>
      <c r="I1308" s="30">
        <v>845856.15</v>
      </c>
    </row>
    <row r="1309" spans="1:9" s="18" customFormat="1" ht="11.1" hidden="1" customHeight="1" outlineLevel="1" collapsed="1" x14ac:dyDescent="0.2">
      <c r="A1309" s="107" t="s">
        <v>1076</v>
      </c>
      <c r="B1309" s="107"/>
      <c r="C1309" s="107"/>
      <c r="D1309" s="107"/>
      <c r="E1309" s="107"/>
      <c r="F1309" s="25">
        <v>2</v>
      </c>
      <c r="G1309" s="26">
        <v>55144.26</v>
      </c>
      <c r="H1309" s="48"/>
      <c r="I1309" s="26">
        <v>55144.26</v>
      </c>
    </row>
    <row r="1310" spans="1:9" s="18" customFormat="1" ht="11.1" hidden="1" customHeight="1" outlineLevel="2" collapsed="1" x14ac:dyDescent="0.2">
      <c r="A1310" s="108" t="s">
        <v>1065</v>
      </c>
      <c r="B1310" s="108"/>
      <c r="C1310" s="108"/>
      <c r="D1310" s="108"/>
      <c r="E1310" s="28" t="s">
        <v>547</v>
      </c>
      <c r="F1310" s="29">
        <v>2</v>
      </c>
      <c r="G1310" s="30">
        <v>55144.26</v>
      </c>
      <c r="H1310" s="49"/>
      <c r="I1310" s="30">
        <v>55144.26</v>
      </c>
    </row>
    <row r="1311" spans="1:9" s="18" customFormat="1" ht="11.1" hidden="1" customHeight="1" outlineLevel="1" collapsed="1" x14ac:dyDescent="0.2">
      <c r="A1311" s="107" t="s">
        <v>1077</v>
      </c>
      <c r="B1311" s="107"/>
      <c r="C1311" s="107"/>
      <c r="D1311" s="107"/>
      <c r="E1311" s="107"/>
      <c r="F1311" s="25">
        <v>10</v>
      </c>
      <c r="G1311" s="26">
        <v>95573.119999999995</v>
      </c>
      <c r="H1311" s="48"/>
      <c r="I1311" s="26">
        <v>95573.119999999995</v>
      </c>
    </row>
    <row r="1312" spans="1:9" s="18" customFormat="1" ht="11.1" hidden="1" customHeight="1" outlineLevel="2" x14ac:dyDescent="0.2">
      <c r="A1312" s="108" t="s">
        <v>1041</v>
      </c>
      <c r="B1312" s="108"/>
      <c r="C1312" s="108"/>
      <c r="D1312" s="108"/>
      <c r="E1312" s="28" t="s">
        <v>547</v>
      </c>
      <c r="F1312" s="29">
        <v>2</v>
      </c>
      <c r="G1312" s="30">
        <v>7526.1</v>
      </c>
      <c r="H1312" s="49"/>
      <c r="I1312" s="30">
        <v>7526.1</v>
      </c>
    </row>
    <row r="1313" spans="1:9" s="18" customFormat="1" ht="11.1" hidden="1" customHeight="1" outlineLevel="2" x14ac:dyDescent="0.2">
      <c r="A1313" s="108" t="s">
        <v>1073</v>
      </c>
      <c r="B1313" s="108"/>
      <c r="C1313" s="108"/>
      <c r="D1313" s="108"/>
      <c r="E1313" s="28" t="s">
        <v>547</v>
      </c>
      <c r="F1313" s="29">
        <v>1</v>
      </c>
      <c r="G1313" s="30">
        <v>11937.81</v>
      </c>
      <c r="H1313" s="49"/>
      <c r="I1313" s="30">
        <v>11937.81</v>
      </c>
    </row>
    <row r="1314" spans="1:9" s="18" customFormat="1" ht="21.95" hidden="1" customHeight="1" outlineLevel="2" x14ac:dyDescent="0.2">
      <c r="A1314" s="108" t="s">
        <v>1078</v>
      </c>
      <c r="B1314" s="108"/>
      <c r="C1314" s="108"/>
      <c r="D1314" s="108"/>
      <c r="E1314" s="28" t="s">
        <v>547</v>
      </c>
      <c r="F1314" s="29">
        <v>2</v>
      </c>
      <c r="G1314" s="30">
        <v>9240.52</v>
      </c>
      <c r="H1314" s="49"/>
      <c r="I1314" s="30">
        <v>9240.52</v>
      </c>
    </row>
    <row r="1315" spans="1:9" s="18" customFormat="1" ht="11.1" hidden="1" customHeight="1" outlineLevel="2" x14ac:dyDescent="0.2">
      <c r="A1315" s="108" t="s">
        <v>1042</v>
      </c>
      <c r="B1315" s="108"/>
      <c r="C1315" s="108"/>
      <c r="D1315" s="108"/>
      <c r="E1315" s="28" t="s">
        <v>547</v>
      </c>
      <c r="F1315" s="29">
        <v>2</v>
      </c>
      <c r="G1315" s="30">
        <v>51517.120000000003</v>
      </c>
      <c r="H1315" s="49"/>
      <c r="I1315" s="30">
        <v>51517.120000000003</v>
      </c>
    </row>
    <row r="1316" spans="1:9" s="18" customFormat="1" ht="11.1" hidden="1" customHeight="1" outlineLevel="2" x14ac:dyDescent="0.2">
      <c r="A1316" s="108" t="s">
        <v>824</v>
      </c>
      <c r="B1316" s="108"/>
      <c r="C1316" s="108"/>
      <c r="D1316" s="108"/>
      <c r="E1316" s="28" t="s">
        <v>547</v>
      </c>
      <c r="F1316" s="29">
        <v>2</v>
      </c>
      <c r="G1316" s="30">
        <v>3655.68</v>
      </c>
      <c r="H1316" s="49"/>
      <c r="I1316" s="30">
        <v>3655.68</v>
      </c>
    </row>
    <row r="1317" spans="1:9" s="18" customFormat="1" ht="11.1" hidden="1" customHeight="1" outlineLevel="2" collapsed="1" x14ac:dyDescent="0.2">
      <c r="A1317" s="108" t="s">
        <v>1073</v>
      </c>
      <c r="B1317" s="108"/>
      <c r="C1317" s="108"/>
      <c r="D1317" s="108"/>
      <c r="E1317" s="28" t="s">
        <v>547</v>
      </c>
      <c r="F1317" s="29">
        <v>1</v>
      </c>
      <c r="G1317" s="30">
        <v>11695.89</v>
      </c>
      <c r="H1317" s="49"/>
      <c r="I1317" s="30">
        <v>11695.89</v>
      </c>
    </row>
    <row r="1318" spans="1:9" s="18" customFormat="1" ht="11.1" hidden="1" customHeight="1" outlineLevel="1" collapsed="1" x14ac:dyDescent="0.2">
      <c r="A1318" s="107" t="s">
        <v>1079</v>
      </c>
      <c r="B1318" s="107"/>
      <c r="C1318" s="107"/>
      <c r="D1318" s="107"/>
      <c r="E1318" s="107"/>
      <c r="F1318" s="25">
        <v>5</v>
      </c>
      <c r="G1318" s="39">
        <v>9139.2000000000007</v>
      </c>
      <c r="H1318" s="48"/>
      <c r="I1318" s="39">
        <v>9139.2000000000007</v>
      </c>
    </row>
    <row r="1319" spans="1:9" s="18" customFormat="1" ht="11.1" hidden="1" customHeight="1" outlineLevel="2" collapsed="1" x14ac:dyDescent="0.2">
      <c r="A1319" s="108" t="s">
        <v>824</v>
      </c>
      <c r="B1319" s="108"/>
      <c r="C1319" s="108"/>
      <c r="D1319" s="108"/>
      <c r="E1319" s="28" t="s">
        <v>547</v>
      </c>
      <c r="F1319" s="29">
        <v>5</v>
      </c>
      <c r="G1319" s="30">
        <v>9139.2000000000007</v>
      </c>
      <c r="H1319" s="49"/>
      <c r="I1319" s="30">
        <v>9139.2000000000007</v>
      </c>
    </row>
    <row r="1320" spans="1:9" s="18" customFormat="1" ht="11.1" hidden="1" customHeight="1" outlineLevel="1" collapsed="1" x14ac:dyDescent="0.2">
      <c r="A1320" s="107" t="s">
        <v>1080</v>
      </c>
      <c r="B1320" s="107"/>
      <c r="C1320" s="107"/>
      <c r="D1320" s="107"/>
      <c r="E1320" s="107"/>
      <c r="F1320" s="25">
        <v>10</v>
      </c>
      <c r="G1320" s="39">
        <v>134566.5</v>
      </c>
      <c r="H1320" s="48"/>
      <c r="I1320" s="39">
        <v>134566.5</v>
      </c>
    </row>
    <row r="1321" spans="1:9" s="18" customFormat="1" ht="11.1" hidden="1" customHeight="1" outlineLevel="2" collapsed="1" x14ac:dyDescent="0.2">
      <c r="A1321" s="108" t="s">
        <v>1081</v>
      </c>
      <c r="B1321" s="108"/>
      <c r="C1321" s="108"/>
      <c r="D1321" s="108"/>
      <c r="E1321" s="28" t="s">
        <v>547</v>
      </c>
      <c r="F1321" s="29">
        <v>10</v>
      </c>
      <c r="G1321" s="30">
        <v>134566.5</v>
      </c>
      <c r="H1321" s="49"/>
      <c r="I1321" s="30">
        <v>134566.5</v>
      </c>
    </row>
    <row r="1322" spans="1:9" s="18" customFormat="1" ht="11.1" hidden="1" customHeight="1" outlineLevel="1" collapsed="1" x14ac:dyDescent="0.2">
      <c r="A1322" s="107" t="s">
        <v>1082</v>
      </c>
      <c r="B1322" s="107"/>
      <c r="C1322" s="107"/>
      <c r="D1322" s="107"/>
      <c r="E1322" s="107"/>
      <c r="F1322" s="25">
        <v>2</v>
      </c>
      <c r="G1322" s="26">
        <v>7218.78</v>
      </c>
      <c r="H1322" s="48"/>
      <c r="I1322" s="26">
        <v>7218.78</v>
      </c>
    </row>
    <row r="1323" spans="1:9" s="18" customFormat="1" ht="11.1" hidden="1" customHeight="1" outlineLevel="2" collapsed="1" x14ac:dyDescent="0.2">
      <c r="A1323" s="108" t="s">
        <v>1083</v>
      </c>
      <c r="B1323" s="108"/>
      <c r="C1323" s="108"/>
      <c r="D1323" s="108"/>
      <c r="E1323" s="28" t="s">
        <v>547</v>
      </c>
      <c r="F1323" s="29">
        <v>2</v>
      </c>
      <c r="G1323" s="30">
        <v>7218.78</v>
      </c>
      <c r="H1323" s="49"/>
      <c r="I1323" s="30">
        <v>7218.78</v>
      </c>
    </row>
    <row r="1324" spans="1:9" s="18" customFormat="1" ht="11.1" hidden="1" customHeight="1" outlineLevel="1" collapsed="1" x14ac:dyDescent="0.2">
      <c r="A1324" s="107" t="s">
        <v>1084</v>
      </c>
      <c r="B1324" s="107"/>
      <c r="C1324" s="107"/>
      <c r="D1324" s="107"/>
      <c r="E1324" s="107"/>
      <c r="F1324" s="25">
        <v>100</v>
      </c>
      <c r="G1324" s="34">
        <v>30198</v>
      </c>
      <c r="H1324" s="48"/>
      <c r="I1324" s="34">
        <v>30198</v>
      </c>
    </row>
    <row r="1325" spans="1:9" s="18" customFormat="1" ht="11.1" hidden="1" customHeight="1" outlineLevel="2" collapsed="1" x14ac:dyDescent="0.2">
      <c r="A1325" s="108" t="s">
        <v>830</v>
      </c>
      <c r="B1325" s="108"/>
      <c r="C1325" s="108"/>
      <c r="D1325" s="108"/>
      <c r="E1325" s="28" t="s">
        <v>547</v>
      </c>
      <c r="F1325" s="29">
        <v>100</v>
      </c>
      <c r="G1325" s="30">
        <v>30198</v>
      </c>
      <c r="H1325" s="49"/>
      <c r="I1325" s="30">
        <v>30198</v>
      </c>
    </row>
    <row r="1326" spans="1:9" s="18" customFormat="1" ht="11.1" hidden="1" customHeight="1" outlineLevel="1" collapsed="1" x14ac:dyDescent="0.2">
      <c r="A1326" s="107" t="s">
        <v>1085</v>
      </c>
      <c r="B1326" s="107"/>
      <c r="C1326" s="107"/>
      <c r="D1326" s="107"/>
      <c r="E1326" s="107"/>
      <c r="F1326" s="25">
        <v>6</v>
      </c>
      <c r="G1326" s="26">
        <v>2222.46</v>
      </c>
      <c r="H1326" s="48"/>
      <c r="I1326" s="26">
        <v>2222.46</v>
      </c>
    </row>
    <row r="1327" spans="1:9" s="18" customFormat="1" ht="21.95" hidden="1" customHeight="1" outlineLevel="2" collapsed="1" x14ac:dyDescent="0.2">
      <c r="A1327" s="108" t="s">
        <v>822</v>
      </c>
      <c r="B1327" s="108"/>
      <c r="C1327" s="108"/>
      <c r="D1327" s="108"/>
      <c r="E1327" s="28" t="s">
        <v>547</v>
      </c>
      <c r="F1327" s="29">
        <v>6</v>
      </c>
      <c r="G1327" s="30">
        <v>2222.46</v>
      </c>
      <c r="H1327" s="49"/>
      <c r="I1327" s="30">
        <v>2222.46</v>
      </c>
    </row>
    <row r="1328" spans="1:9" s="18" customFormat="1" ht="11.1" hidden="1" customHeight="1" outlineLevel="1" collapsed="1" x14ac:dyDescent="0.2">
      <c r="A1328" s="107" t="s">
        <v>1086</v>
      </c>
      <c r="B1328" s="107"/>
      <c r="C1328" s="107"/>
      <c r="D1328" s="107"/>
      <c r="E1328" s="107"/>
      <c r="F1328" s="25">
        <v>3</v>
      </c>
      <c r="G1328" s="26">
        <v>38088.339999999997</v>
      </c>
      <c r="H1328" s="48"/>
      <c r="I1328" s="26">
        <v>38088.339999999997</v>
      </c>
    </row>
    <row r="1329" spans="1:9" s="18" customFormat="1" ht="11.1" hidden="1" customHeight="1" outlineLevel="2" x14ac:dyDescent="0.2">
      <c r="A1329" s="108" t="s">
        <v>1042</v>
      </c>
      <c r="B1329" s="108"/>
      <c r="C1329" s="108"/>
      <c r="D1329" s="108"/>
      <c r="E1329" s="28" t="s">
        <v>547</v>
      </c>
      <c r="F1329" s="29">
        <v>1</v>
      </c>
      <c r="G1329" s="30">
        <v>25793.06</v>
      </c>
      <c r="H1329" s="49"/>
      <c r="I1329" s="30">
        <v>25793.06</v>
      </c>
    </row>
    <row r="1330" spans="1:9" s="18" customFormat="1" ht="11.1" hidden="1" customHeight="1" outlineLevel="2" x14ac:dyDescent="0.2">
      <c r="A1330" s="108" t="s">
        <v>841</v>
      </c>
      <c r="B1330" s="108"/>
      <c r="C1330" s="108"/>
      <c r="D1330" s="108"/>
      <c r="E1330" s="28" t="s">
        <v>547</v>
      </c>
      <c r="F1330" s="29">
        <v>1</v>
      </c>
      <c r="G1330" s="30">
        <v>1821.99</v>
      </c>
      <c r="H1330" s="49"/>
      <c r="I1330" s="30">
        <v>1821.99</v>
      </c>
    </row>
    <row r="1331" spans="1:9" s="18" customFormat="1" ht="11.1" hidden="1" customHeight="1" outlineLevel="2" collapsed="1" x14ac:dyDescent="0.2">
      <c r="A1331" s="108" t="s">
        <v>1018</v>
      </c>
      <c r="B1331" s="108"/>
      <c r="C1331" s="108"/>
      <c r="D1331" s="108"/>
      <c r="E1331" s="28" t="s">
        <v>547</v>
      </c>
      <c r="F1331" s="29">
        <v>1</v>
      </c>
      <c r="G1331" s="30">
        <v>10473.290000000001</v>
      </c>
      <c r="H1331" s="49"/>
      <c r="I1331" s="30">
        <v>10473.290000000001</v>
      </c>
    </row>
    <row r="1332" spans="1:9" s="18" customFormat="1" ht="11.1" hidden="1" customHeight="1" outlineLevel="1" collapsed="1" x14ac:dyDescent="0.2">
      <c r="A1332" s="107" t="s">
        <v>1087</v>
      </c>
      <c r="B1332" s="107"/>
      <c r="C1332" s="107"/>
      <c r="D1332" s="107"/>
      <c r="E1332" s="107"/>
      <c r="F1332" s="25">
        <v>2</v>
      </c>
      <c r="G1332" s="26">
        <v>23907.58</v>
      </c>
      <c r="H1332" s="48"/>
      <c r="I1332" s="26">
        <v>23907.58</v>
      </c>
    </row>
    <row r="1333" spans="1:9" s="18" customFormat="1" ht="11.1" hidden="1" customHeight="1" outlineLevel="2" collapsed="1" x14ac:dyDescent="0.2">
      <c r="A1333" s="108" t="s">
        <v>881</v>
      </c>
      <c r="B1333" s="108"/>
      <c r="C1333" s="108"/>
      <c r="D1333" s="108"/>
      <c r="E1333" s="28" t="s">
        <v>547</v>
      </c>
      <c r="F1333" s="29">
        <v>2</v>
      </c>
      <c r="G1333" s="30">
        <v>23907.58</v>
      </c>
      <c r="H1333" s="49"/>
      <c r="I1333" s="30">
        <v>23907.58</v>
      </c>
    </row>
    <row r="1334" spans="1:9" s="18" customFormat="1" ht="11.1" hidden="1" customHeight="1" outlineLevel="1" collapsed="1" x14ac:dyDescent="0.2">
      <c r="A1334" s="107" t="s">
        <v>1088</v>
      </c>
      <c r="B1334" s="107"/>
      <c r="C1334" s="107"/>
      <c r="D1334" s="107"/>
      <c r="E1334" s="107"/>
      <c r="F1334" s="25">
        <v>15</v>
      </c>
      <c r="G1334" s="26">
        <v>150283.25</v>
      </c>
      <c r="H1334" s="48"/>
      <c r="I1334" s="26">
        <v>150283.25</v>
      </c>
    </row>
    <row r="1335" spans="1:9" s="18" customFormat="1" ht="11.1" hidden="1" customHeight="1" outlineLevel="2" x14ac:dyDescent="0.2">
      <c r="A1335" s="108" t="s">
        <v>883</v>
      </c>
      <c r="B1335" s="108"/>
      <c r="C1335" s="108"/>
      <c r="D1335" s="108"/>
      <c r="E1335" s="28" t="s">
        <v>547</v>
      </c>
      <c r="F1335" s="29">
        <v>5</v>
      </c>
      <c r="G1335" s="30">
        <v>105737.85</v>
      </c>
      <c r="H1335" s="49"/>
      <c r="I1335" s="30">
        <v>105737.85</v>
      </c>
    </row>
    <row r="1336" spans="1:9" s="18" customFormat="1" ht="11.1" hidden="1" customHeight="1" outlineLevel="2" x14ac:dyDescent="0.2">
      <c r="A1336" s="108" t="s">
        <v>912</v>
      </c>
      <c r="B1336" s="108"/>
      <c r="C1336" s="108"/>
      <c r="D1336" s="108"/>
      <c r="E1336" s="28" t="s">
        <v>547</v>
      </c>
      <c r="F1336" s="29">
        <v>4</v>
      </c>
      <c r="G1336" s="30">
        <v>33498.080000000002</v>
      </c>
      <c r="H1336" s="49"/>
      <c r="I1336" s="30">
        <v>33498.080000000002</v>
      </c>
    </row>
    <row r="1337" spans="1:9" s="18" customFormat="1" ht="11.1" hidden="1" customHeight="1" outlineLevel="2" x14ac:dyDescent="0.2">
      <c r="A1337" s="108" t="s">
        <v>912</v>
      </c>
      <c r="B1337" s="108"/>
      <c r="C1337" s="108"/>
      <c r="D1337" s="108"/>
      <c r="E1337" s="28" t="s">
        <v>547</v>
      </c>
      <c r="F1337" s="29">
        <v>1</v>
      </c>
      <c r="G1337" s="44">
        <v>974.82</v>
      </c>
      <c r="H1337" s="49"/>
      <c r="I1337" s="44">
        <v>974.82</v>
      </c>
    </row>
    <row r="1338" spans="1:9" s="18" customFormat="1" ht="11.1" hidden="1" customHeight="1" outlineLevel="2" collapsed="1" x14ac:dyDescent="0.2">
      <c r="A1338" s="108" t="s">
        <v>1089</v>
      </c>
      <c r="B1338" s="108"/>
      <c r="C1338" s="108"/>
      <c r="D1338" s="108"/>
      <c r="E1338" s="28" t="s">
        <v>547</v>
      </c>
      <c r="F1338" s="29">
        <v>5</v>
      </c>
      <c r="G1338" s="30">
        <v>10072.5</v>
      </c>
      <c r="H1338" s="49"/>
      <c r="I1338" s="30">
        <v>10072.5</v>
      </c>
    </row>
    <row r="1339" spans="1:9" s="18" customFormat="1" ht="11.1" hidden="1" customHeight="1" outlineLevel="1" collapsed="1" x14ac:dyDescent="0.2">
      <c r="A1339" s="107" t="s">
        <v>1090</v>
      </c>
      <c r="B1339" s="107"/>
      <c r="C1339" s="107"/>
      <c r="D1339" s="107"/>
      <c r="E1339" s="107"/>
      <c r="F1339" s="25">
        <v>10</v>
      </c>
      <c r="G1339" s="39">
        <v>135324.29999999999</v>
      </c>
      <c r="H1339" s="48"/>
      <c r="I1339" s="39">
        <v>135324.29999999999</v>
      </c>
    </row>
    <row r="1340" spans="1:9" s="18" customFormat="1" ht="11.1" hidden="1" customHeight="1" outlineLevel="2" collapsed="1" x14ac:dyDescent="0.2">
      <c r="A1340" s="108" t="s">
        <v>1091</v>
      </c>
      <c r="B1340" s="108"/>
      <c r="C1340" s="108"/>
      <c r="D1340" s="108"/>
      <c r="E1340" s="28" t="s">
        <v>547</v>
      </c>
      <c r="F1340" s="29">
        <v>10</v>
      </c>
      <c r="G1340" s="30">
        <v>135324.29999999999</v>
      </c>
      <c r="H1340" s="49"/>
      <c r="I1340" s="30">
        <v>135324.29999999999</v>
      </c>
    </row>
    <row r="1341" spans="1:9" s="18" customFormat="1" ht="11.1" hidden="1" customHeight="1" outlineLevel="1" collapsed="1" x14ac:dyDescent="0.2">
      <c r="A1341" s="107" t="s">
        <v>1092</v>
      </c>
      <c r="B1341" s="107"/>
      <c r="C1341" s="107"/>
      <c r="D1341" s="107"/>
      <c r="E1341" s="107"/>
      <c r="F1341" s="25">
        <v>2</v>
      </c>
      <c r="G1341" s="26">
        <v>25047.72</v>
      </c>
      <c r="H1341" s="48"/>
      <c r="I1341" s="26">
        <v>25047.72</v>
      </c>
    </row>
    <row r="1342" spans="1:9" s="18" customFormat="1" ht="11.1" hidden="1" customHeight="1" outlineLevel="2" collapsed="1" x14ac:dyDescent="0.2">
      <c r="A1342" s="108" t="s">
        <v>880</v>
      </c>
      <c r="B1342" s="108"/>
      <c r="C1342" s="108"/>
      <c r="D1342" s="108"/>
      <c r="E1342" s="28" t="s">
        <v>547</v>
      </c>
      <c r="F1342" s="29">
        <v>2</v>
      </c>
      <c r="G1342" s="30">
        <v>25047.72</v>
      </c>
      <c r="H1342" s="49"/>
      <c r="I1342" s="30">
        <v>25047.72</v>
      </c>
    </row>
    <row r="1343" spans="1:9" s="18" customFormat="1" ht="11.1" hidden="1" customHeight="1" outlineLevel="1" collapsed="1" x14ac:dyDescent="0.2">
      <c r="A1343" s="107" t="s">
        <v>1093</v>
      </c>
      <c r="B1343" s="107"/>
      <c r="C1343" s="107"/>
      <c r="D1343" s="107"/>
      <c r="E1343" s="107"/>
      <c r="F1343" s="25">
        <v>4</v>
      </c>
      <c r="G1343" s="26">
        <v>55588.62</v>
      </c>
      <c r="H1343" s="48"/>
      <c r="I1343" s="26">
        <v>55588.62</v>
      </c>
    </row>
    <row r="1344" spans="1:9" s="18" customFormat="1" ht="21.95" hidden="1" customHeight="1" outlineLevel="2" x14ac:dyDescent="0.2">
      <c r="A1344" s="108" t="s">
        <v>1094</v>
      </c>
      <c r="B1344" s="108"/>
      <c r="C1344" s="108"/>
      <c r="D1344" s="108"/>
      <c r="E1344" s="28" t="s">
        <v>547</v>
      </c>
      <c r="F1344" s="29">
        <v>1</v>
      </c>
      <c r="G1344" s="30">
        <v>51651.88</v>
      </c>
      <c r="H1344" s="49"/>
      <c r="I1344" s="30">
        <v>51651.88</v>
      </c>
    </row>
    <row r="1345" spans="1:9" s="18" customFormat="1" ht="11.1" hidden="1" customHeight="1" outlineLevel="2" x14ac:dyDescent="0.2">
      <c r="A1345" s="108" t="s">
        <v>1095</v>
      </c>
      <c r="B1345" s="108"/>
      <c r="C1345" s="108"/>
      <c r="D1345" s="108"/>
      <c r="E1345" s="28" t="s">
        <v>547</v>
      </c>
      <c r="F1345" s="29">
        <v>1</v>
      </c>
      <c r="G1345" s="30">
        <v>2609.7399999999998</v>
      </c>
      <c r="H1345" s="49"/>
      <c r="I1345" s="30">
        <v>2609.7399999999998</v>
      </c>
    </row>
    <row r="1346" spans="1:9" s="18" customFormat="1" ht="21.95" hidden="1" customHeight="1" outlineLevel="2" x14ac:dyDescent="0.2">
      <c r="A1346" s="108" t="s">
        <v>1096</v>
      </c>
      <c r="B1346" s="108"/>
      <c r="C1346" s="108"/>
      <c r="D1346" s="108"/>
      <c r="E1346" s="28" t="s">
        <v>547</v>
      </c>
      <c r="F1346" s="29">
        <v>1</v>
      </c>
      <c r="G1346" s="44">
        <v>472.2</v>
      </c>
      <c r="H1346" s="49"/>
      <c r="I1346" s="44">
        <v>472.2</v>
      </c>
    </row>
    <row r="1347" spans="1:9" s="18" customFormat="1" ht="11.1" hidden="1" customHeight="1" outlineLevel="2" collapsed="1" x14ac:dyDescent="0.2">
      <c r="A1347" s="108" t="s">
        <v>1097</v>
      </c>
      <c r="B1347" s="108"/>
      <c r="C1347" s="108"/>
      <c r="D1347" s="108"/>
      <c r="E1347" s="28" t="s">
        <v>547</v>
      </c>
      <c r="F1347" s="29">
        <v>1</v>
      </c>
      <c r="G1347" s="44">
        <v>854.8</v>
      </c>
      <c r="H1347" s="49"/>
      <c r="I1347" s="44">
        <v>854.8</v>
      </c>
    </row>
    <row r="1348" spans="1:9" s="18" customFormat="1" ht="11.1" hidden="1" customHeight="1" outlineLevel="1" collapsed="1" x14ac:dyDescent="0.2">
      <c r="A1348" s="107" t="s">
        <v>1098</v>
      </c>
      <c r="B1348" s="107"/>
      <c r="C1348" s="107"/>
      <c r="D1348" s="107"/>
      <c r="E1348" s="107"/>
      <c r="F1348" s="25">
        <v>40</v>
      </c>
      <c r="G1348" s="39">
        <v>108048.8</v>
      </c>
      <c r="H1348" s="48"/>
      <c r="I1348" s="39">
        <v>108048.8</v>
      </c>
    </row>
    <row r="1349" spans="1:9" s="18" customFormat="1" ht="11.1" hidden="1" customHeight="1" outlineLevel="2" collapsed="1" x14ac:dyDescent="0.2">
      <c r="A1349" s="108" t="s">
        <v>1099</v>
      </c>
      <c r="B1349" s="108"/>
      <c r="C1349" s="108"/>
      <c r="D1349" s="108"/>
      <c r="E1349" s="28" t="s">
        <v>547</v>
      </c>
      <c r="F1349" s="29">
        <v>40</v>
      </c>
      <c r="G1349" s="30">
        <v>108048.8</v>
      </c>
      <c r="H1349" s="49"/>
      <c r="I1349" s="30">
        <v>108048.8</v>
      </c>
    </row>
    <row r="1350" spans="1:9" s="18" customFormat="1" ht="11.1" hidden="1" customHeight="1" outlineLevel="1" collapsed="1" x14ac:dyDescent="0.2">
      <c r="A1350" s="107" t="s">
        <v>1100</v>
      </c>
      <c r="B1350" s="107"/>
      <c r="C1350" s="107"/>
      <c r="D1350" s="107"/>
      <c r="E1350" s="107"/>
      <c r="F1350" s="25">
        <v>202</v>
      </c>
      <c r="G1350" s="26">
        <v>115710.02</v>
      </c>
      <c r="H1350" s="48"/>
      <c r="I1350" s="26">
        <v>115710.02</v>
      </c>
    </row>
    <row r="1351" spans="1:9" s="18" customFormat="1" ht="11.1" hidden="1" customHeight="1" outlineLevel="2" x14ac:dyDescent="0.2">
      <c r="A1351" s="108" t="s">
        <v>1065</v>
      </c>
      <c r="B1351" s="108"/>
      <c r="C1351" s="108"/>
      <c r="D1351" s="108"/>
      <c r="E1351" s="28" t="s">
        <v>547</v>
      </c>
      <c r="F1351" s="29">
        <v>2</v>
      </c>
      <c r="G1351" s="30">
        <v>55226.02</v>
      </c>
      <c r="H1351" s="49"/>
      <c r="I1351" s="30">
        <v>55226.02</v>
      </c>
    </row>
    <row r="1352" spans="1:9" s="18" customFormat="1" ht="11.1" hidden="1" customHeight="1" outlineLevel="2" collapsed="1" x14ac:dyDescent="0.2">
      <c r="A1352" s="108" t="s">
        <v>830</v>
      </c>
      <c r="B1352" s="108"/>
      <c r="C1352" s="108"/>
      <c r="D1352" s="108"/>
      <c r="E1352" s="28" t="s">
        <v>547</v>
      </c>
      <c r="F1352" s="29">
        <v>200</v>
      </c>
      <c r="G1352" s="30">
        <v>60484</v>
      </c>
      <c r="H1352" s="49"/>
      <c r="I1352" s="30">
        <v>60484</v>
      </c>
    </row>
    <row r="1353" spans="1:9" s="18" customFormat="1" ht="11.1" hidden="1" customHeight="1" outlineLevel="1" collapsed="1" x14ac:dyDescent="0.2">
      <c r="A1353" s="107" t="s">
        <v>1101</v>
      </c>
      <c r="B1353" s="107"/>
      <c r="C1353" s="107"/>
      <c r="D1353" s="107"/>
      <c r="E1353" s="107"/>
      <c r="F1353" s="25">
        <v>38</v>
      </c>
      <c r="G1353" s="26">
        <v>57338.98</v>
      </c>
      <c r="H1353" s="48"/>
      <c r="I1353" s="26">
        <v>57338.98</v>
      </c>
    </row>
    <row r="1354" spans="1:9" s="18" customFormat="1" ht="11.1" hidden="1" customHeight="1" outlineLevel="2" x14ac:dyDescent="0.2">
      <c r="A1354" s="108" t="s">
        <v>1102</v>
      </c>
      <c r="B1354" s="108"/>
      <c r="C1354" s="108"/>
      <c r="D1354" s="108"/>
      <c r="E1354" s="28" t="s">
        <v>547</v>
      </c>
      <c r="F1354" s="29">
        <v>2</v>
      </c>
      <c r="G1354" s="30">
        <v>1559.2</v>
      </c>
      <c r="H1354" s="49"/>
      <c r="I1354" s="30">
        <v>1559.2</v>
      </c>
    </row>
    <row r="1355" spans="1:9" s="18" customFormat="1" ht="11.1" hidden="1" customHeight="1" outlineLevel="2" x14ac:dyDescent="0.2">
      <c r="A1355" s="108" t="s">
        <v>1103</v>
      </c>
      <c r="B1355" s="108"/>
      <c r="C1355" s="108"/>
      <c r="D1355" s="108"/>
      <c r="E1355" s="28" t="s">
        <v>547</v>
      </c>
      <c r="F1355" s="29">
        <v>2</v>
      </c>
      <c r="G1355" s="30">
        <v>21613.72</v>
      </c>
      <c r="H1355" s="49"/>
      <c r="I1355" s="30">
        <v>21613.72</v>
      </c>
    </row>
    <row r="1356" spans="1:9" s="18" customFormat="1" ht="11.1" hidden="1" customHeight="1" outlineLevel="2" x14ac:dyDescent="0.2">
      <c r="A1356" s="108" t="s">
        <v>1104</v>
      </c>
      <c r="B1356" s="108"/>
      <c r="C1356" s="108"/>
      <c r="D1356" s="108"/>
      <c r="E1356" s="28" t="s">
        <v>547</v>
      </c>
      <c r="F1356" s="29">
        <v>7</v>
      </c>
      <c r="G1356" s="30">
        <v>1290.24</v>
      </c>
      <c r="H1356" s="49"/>
      <c r="I1356" s="30">
        <v>1290.24</v>
      </c>
    </row>
    <row r="1357" spans="1:9" s="18" customFormat="1" ht="11.1" hidden="1" customHeight="1" outlineLevel="2" x14ac:dyDescent="0.2">
      <c r="A1357" s="108" t="s">
        <v>1104</v>
      </c>
      <c r="B1357" s="108"/>
      <c r="C1357" s="108"/>
      <c r="D1357" s="108"/>
      <c r="E1357" s="28" t="s">
        <v>547</v>
      </c>
      <c r="F1357" s="29">
        <v>3</v>
      </c>
      <c r="G1357" s="44">
        <v>543.29999999999995</v>
      </c>
      <c r="H1357" s="49"/>
      <c r="I1357" s="44">
        <v>543.29999999999995</v>
      </c>
    </row>
    <row r="1358" spans="1:9" s="18" customFormat="1" ht="11.1" hidden="1" customHeight="1" outlineLevel="2" x14ac:dyDescent="0.2">
      <c r="A1358" s="108" t="s">
        <v>1105</v>
      </c>
      <c r="B1358" s="108"/>
      <c r="C1358" s="108"/>
      <c r="D1358" s="108"/>
      <c r="E1358" s="28" t="s">
        <v>547</v>
      </c>
      <c r="F1358" s="29">
        <v>1</v>
      </c>
      <c r="G1358" s="30">
        <v>2378.9</v>
      </c>
      <c r="H1358" s="49"/>
      <c r="I1358" s="30">
        <v>2378.9</v>
      </c>
    </row>
    <row r="1359" spans="1:9" s="18" customFormat="1" ht="11.1" hidden="1" customHeight="1" outlineLevel="2" x14ac:dyDescent="0.2">
      <c r="A1359" s="108" t="s">
        <v>1105</v>
      </c>
      <c r="B1359" s="108"/>
      <c r="C1359" s="108"/>
      <c r="D1359" s="108"/>
      <c r="E1359" s="28" t="s">
        <v>547</v>
      </c>
      <c r="F1359" s="29">
        <v>3</v>
      </c>
      <c r="G1359" s="30">
        <v>7185.75</v>
      </c>
      <c r="H1359" s="49"/>
      <c r="I1359" s="30">
        <v>7185.75</v>
      </c>
    </row>
    <row r="1360" spans="1:9" s="18" customFormat="1" ht="11.1" hidden="1" customHeight="1" outlineLevel="2" x14ac:dyDescent="0.2">
      <c r="A1360" s="108" t="s">
        <v>1105</v>
      </c>
      <c r="B1360" s="108"/>
      <c r="C1360" s="108"/>
      <c r="D1360" s="108"/>
      <c r="E1360" s="28" t="s">
        <v>547</v>
      </c>
      <c r="F1360" s="29">
        <v>1</v>
      </c>
      <c r="G1360" s="30">
        <v>2439.0300000000002</v>
      </c>
      <c r="H1360" s="49"/>
      <c r="I1360" s="30">
        <v>2439.0300000000002</v>
      </c>
    </row>
    <row r="1361" spans="1:9" s="18" customFormat="1" ht="11.1" hidden="1" customHeight="1" outlineLevel="2" x14ac:dyDescent="0.2">
      <c r="A1361" s="108" t="s">
        <v>1106</v>
      </c>
      <c r="B1361" s="108"/>
      <c r="C1361" s="108"/>
      <c r="D1361" s="108"/>
      <c r="E1361" s="28" t="s">
        <v>547</v>
      </c>
      <c r="F1361" s="29">
        <v>5</v>
      </c>
      <c r="G1361" s="30">
        <v>5424.55</v>
      </c>
      <c r="H1361" s="49"/>
      <c r="I1361" s="30">
        <v>5424.55</v>
      </c>
    </row>
    <row r="1362" spans="1:9" s="18" customFormat="1" ht="11.1" hidden="1" customHeight="1" outlineLevel="2" x14ac:dyDescent="0.2">
      <c r="A1362" s="108" t="s">
        <v>1107</v>
      </c>
      <c r="B1362" s="108"/>
      <c r="C1362" s="108"/>
      <c r="D1362" s="108"/>
      <c r="E1362" s="28" t="s">
        <v>547</v>
      </c>
      <c r="F1362" s="29">
        <v>4</v>
      </c>
      <c r="G1362" s="30">
        <v>4263.04</v>
      </c>
      <c r="H1362" s="49"/>
      <c r="I1362" s="30">
        <v>4263.04</v>
      </c>
    </row>
    <row r="1363" spans="1:9" s="18" customFormat="1" ht="11.1" hidden="1" customHeight="1" outlineLevel="2" x14ac:dyDescent="0.2">
      <c r="A1363" s="108" t="s">
        <v>1108</v>
      </c>
      <c r="B1363" s="108"/>
      <c r="C1363" s="108"/>
      <c r="D1363" s="108"/>
      <c r="E1363" s="28" t="s">
        <v>547</v>
      </c>
      <c r="F1363" s="29">
        <v>5</v>
      </c>
      <c r="G1363" s="30">
        <v>5328.5</v>
      </c>
      <c r="H1363" s="49"/>
      <c r="I1363" s="30">
        <v>5328.5</v>
      </c>
    </row>
    <row r="1364" spans="1:9" s="18" customFormat="1" ht="11.1" hidden="1" customHeight="1" outlineLevel="2" collapsed="1" x14ac:dyDescent="0.2">
      <c r="A1364" s="108" t="s">
        <v>1109</v>
      </c>
      <c r="B1364" s="108"/>
      <c r="C1364" s="108"/>
      <c r="D1364" s="108"/>
      <c r="E1364" s="28" t="s">
        <v>547</v>
      </c>
      <c r="F1364" s="29">
        <v>5</v>
      </c>
      <c r="G1364" s="30">
        <v>5312.75</v>
      </c>
      <c r="H1364" s="49"/>
      <c r="I1364" s="30">
        <v>5312.75</v>
      </c>
    </row>
    <row r="1365" spans="1:9" s="18" customFormat="1" ht="11.1" hidden="1" customHeight="1" outlineLevel="1" collapsed="1" x14ac:dyDescent="0.2">
      <c r="A1365" s="107" t="s">
        <v>1110</v>
      </c>
      <c r="B1365" s="107"/>
      <c r="C1365" s="107"/>
      <c r="D1365" s="107"/>
      <c r="E1365" s="107"/>
      <c r="F1365" s="25">
        <v>3</v>
      </c>
      <c r="G1365" s="26">
        <v>2828.31</v>
      </c>
      <c r="H1365" s="48"/>
      <c r="I1365" s="26">
        <v>2828.31</v>
      </c>
    </row>
    <row r="1366" spans="1:9" s="18" customFormat="1" ht="11.1" hidden="1" customHeight="1" outlineLevel="2" x14ac:dyDescent="0.2">
      <c r="A1366" s="108" t="s">
        <v>1111</v>
      </c>
      <c r="B1366" s="108"/>
      <c r="C1366" s="108"/>
      <c r="D1366" s="108"/>
      <c r="E1366" s="28" t="s">
        <v>547</v>
      </c>
      <c r="F1366" s="29">
        <v>2</v>
      </c>
      <c r="G1366" s="30">
        <v>1765.98</v>
      </c>
      <c r="H1366" s="49"/>
      <c r="I1366" s="30">
        <v>1765.98</v>
      </c>
    </row>
    <row r="1367" spans="1:9" s="18" customFormat="1" ht="11.1" hidden="1" customHeight="1" outlineLevel="2" collapsed="1" x14ac:dyDescent="0.2">
      <c r="A1367" s="108" t="s">
        <v>1107</v>
      </c>
      <c r="B1367" s="108"/>
      <c r="C1367" s="108"/>
      <c r="D1367" s="108"/>
      <c r="E1367" s="28" t="s">
        <v>547</v>
      </c>
      <c r="F1367" s="29">
        <v>1</v>
      </c>
      <c r="G1367" s="30">
        <v>1062.33</v>
      </c>
      <c r="H1367" s="49"/>
      <c r="I1367" s="30">
        <v>1062.33</v>
      </c>
    </row>
    <row r="1368" spans="1:9" s="18" customFormat="1" ht="11.1" hidden="1" customHeight="1" outlineLevel="1" collapsed="1" x14ac:dyDescent="0.2">
      <c r="A1368" s="107" t="s">
        <v>1112</v>
      </c>
      <c r="B1368" s="107"/>
      <c r="C1368" s="107"/>
      <c r="D1368" s="107"/>
      <c r="E1368" s="107"/>
      <c r="F1368" s="25">
        <v>15</v>
      </c>
      <c r="G1368" s="39">
        <v>43171.199999999997</v>
      </c>
      <c r="H1368" s="48"/>
      <c r="I1368" s="39">
        <v>43171.199999999997</v>
      </c>
    </row>
    <row r="1369" spans="1:9" s="18" customFormat="1" ht="11.1" hidden="1" customHeight="1" outlineLevel="2" collapsed="1" x14ac:dyDescent="0.2">
      <c r="A1369" s="108" t="s">
        <v>1113</v>
      </c>
      <c r="B1369" s="108"/>
      <c r="C1369" s="108"/>
      <c r="D1369" s="108"/>
      <c r="E1369" s="28" t="s">
        <v>547</v>
      </c>
      <c r="F1369" s="29">
        <v>15</v>
      </c>
      <c r="G1369" s="30">
        <v>43171.199999999997</v>
      </c>
      <c r="H1369" s="49"/>
      <c r="I1369" s="30">
        <v>43171.199999999997</v>
      </c>
    </row>
    <row r="1370" spans="1:9" s="18" customFormat="1" ht="11.1" hidden="1" customHeight="1" outlineLevel="1" collapsed="1" x14ac:dyDescent="0.2">
      <c r="A1370" s="107" t="s">
        <v>1114</v>
      </c>
      <c r="B1370" s="107"/>
      <c r="C1370" s="107"/>
      <c r="D1370" s="107"/>
      <c r="E1370" s="107"/>
      <c r="F1370" s="25">
        <v>5</v>
      </c>
      <c r="G1370" s="26">
        <v>18443.150000000001</v>
      </c>
      <c r="H1370" s="48"/>
      <c r="I1370" s="26">
        <v>18443.150000000001</v>
      </c>
    </row>
    <row r="1371" spans="1:9" s="18" customFormat="1" ht="11.1" hidden="1" customHeight="1" outlineLevel="2" collapsed="1" x14ac:dyDescent="0.2">
      <c r="A1371" s="108" t="s">
        <v>1115</v>
      </c>
      <c r="B1371" s="108"/>
      <c r="C1371" s="108"/>
      <c r="D1371" s="108"/>
      <c r="E1371" s="28" t="s">
        <v>547</v>
      </c>
      <c r="F1371" s="29">
        <v>5</v>
      </c>
      <c r="G1371" s="30">
        <v>18443.150000000001</v>
      </c>
      <c r="H1371" s="49"/>
      <c r="I1371" s="30">
        <v>18443.150000000001</v>
      </c>
    </row>
    <row r="1372" spans="1:9" s="18" customFormat="1" ht="11.1" hidden="1" customHeight="1" outlineLevel="1" collapsed="1" x14ac:dyDescent="0.2">
      <c r="A1372" s="107" t="s">
        <v>1116</v>
      </c>
      <c r="B1372" s="107"/>
      <c r="C1372" s="107"/>
      <c r="D1372" s="107"/>
      <c r="E1372" s="107"/>
      <c r="F1372" s="25">
        <v>20</v>
      </c>
      <c r="G1372" s="39">
        <v>7765.4</v>
      </c>
      <c r="H1372" s="48"/>
      <c r="I1372" s="39">
        <v>7765.4</v>
      </c>
    </row>
    <row r="1373" spans="1:9" s="18" customFormat="1" ht="11.1" hidden="1" customHeight="1" outlineLevel="2" x14ac:dyDescent="0.2">
      <c r="A1373" s="108" t="s">
        <v>834</v>
      </c>
      <c r="B1373" s="108"/>
      <c r="C1373" s="108"/>
      <c r="D1373" s="108"/>
      <c r="E1373" s="28" t="s">
        <v>547</v>
      </c>
      <c r="F1373" s="29">
        <v>10</v>
      </c>
      <c r="G1373" s="30">
        <v>2144</v>
      </c>
      <c r="H1373" s="49"/>
      <c r="I1373" s="30">
        <v>2144</v>
      </c>
    </row>
    <row r="1374" spans="1:9" s="18" customFormat="1" ht="21.95" hidden="1" customHeight="1" outlineLevel="2" collapsed="1" x14ac:dyDescent="0.2">
      <c r="A1374" s="108" t="s">
        <v>874</v>
      </c>
      <c r="B1374" s="108"/>
      <c r="C1374" s="108"/>
      <c r="D1374" s="108"/>
      <c r="E1374" s="28" t="s">
        <v>547</v>
      </c>
      <c r="F1374" s="29">
        <v>10</v>
      </c>
      <c r="G1374" s="30">
        <v>5621.4</v>
      </c>
      <c r="H1374" s="49"/>
      <c r="I1374" s="30">
        <v>5621.4</v>
      </c>
    </row>
    <row r="1375" spans="1:9" s="18" customFormat="1" ht="11.1" hidden="1" customHeight="1" outlineLevel="1" collapsed="1" x14ac:dyDescent="0.2">
      <c r="A1375" s="107" t="s">
        <v>1117</v>
      </c>
      <c r="B1375" s="107"/>
      <c r="C1375" s="107"/>
      <c r="D1375" s="107"/>
      <c r="E1375" s="107"/>
      <c r="F1375" s="25">
        <v>3</v>
      </c>
      <c r="G1375" s="26">
        <v>37701.57</v>
      </c>
      <c r="H1375" s="48"/>
      <c r="I1375" s="26">
        <v>37701.57</v>
      </c>
    </row>
    <row r="1376" spans="1:9" s="18" customFormat="1" ht="11.1" hidden="1" customHeight="1" outlineLevel="2" collapsed="1" x14ac:dyDescent="0.2">
      <c r="A1376" s="108" t="s">
        <v>880</v>
      </c>
      <c r="B1376" s="108"/>
      <c r="C1376" s="108"/>
      <c r="D1376" s="108"/>
      <c r="E1376" s="28" t="s">
        <v>547</v>
      </c>
      <c r="F1376" s="29">
        <v>3</v>
      </c>
      <c r="G1376" s="30">
        <v>37701.57</v>
      </c>
      <c r="H1376" s="49"/>
      <c r="I1376" s="30">
        <v>37701.57</v>
      </c>
    </row>
    <row r="1377" spans="1:9" s="18" customFormat="1" ht="11.1" hidden="1" customHeight="1" outlineLevel="1" collapsed="1" x14ac:dyDescent="0.2">
      <c r="A1377" s="107" t="s">
        <v>1118</v>
      </c>
      <c r="B1377" s="107"/>
      <c r="C1377" s="107"/>
      <c r="D1377" s="107"/>
      <c r="E1377" s="107"/>
      <c r="F1377" s="25">
        <v>3</v>
      </c>
      <c r="G1377" s="26">
        <v>77684.94</v>
      </c>
      <c r="H1377" s="48"/>
      <c r="I1377" s="26">
        <v>77684.94</v>
      </c>
    </row>
    <row r="1378" spans="1:9" s="18" customFormat="1" ht="11.1" hidden="1" customHeight="1" outlineLevel="2" collapsed="1" x14ac:dyDescent="0.2">
      <c r="A1378" s="108" t="s">
        <v>1042</v>
      </c>
      <c r="B1378" s="108"/>
      <c r="C1378" s="108"/>
      <c r="D1378" s="108"/>
      <c r="E1378" s="28" t="s">
        <v>547</v>
      </c>
      <c r="F1378" s="29">
        <v>3</v>
      </c>
      <c r="G1378" s="30">
        <v>77684.94</v>
      </c>
      <c r="H1378" s="49"/>
      <c r="I1378" s="30">
        <v>77684.94</v>
      </c>
    </row>
    <row r="1379" spans="1:9" s="18" customFormat="1" ht="11.1" hidden="1" customHeight="1" outlineLevel="1" collapsed="1" x14ac:dyDescent="0.2">
      <c r="A1379" s="107" t="s">
        <v>1119</v>
      </c>
      <c r="B1379" s="107"/>
      <c r="C1379" s="107"/>
      <c r="D1379" s="107"/>
      <c r="E1379" s="107"/>
      <c r="F1379" s="25">
        <v>12</v>
      </c>
      <c r="G1379" s="26">
        <v>3471.87</v>
      </c>
      <c r="H1379" s="48"/>
      <c r="I1379" s="26">
        <v>3471.87</v>
      </c>
    </row>
    <row r="1380" spans="1:9" s="18" customFormat="1" ht="21.95" hidden="1" customHeight="1" outlineLevel="2" x14ac:dyDescent="0.2">
      <c r="A1380" s="108" t="s">
        <v>1120</v>
      </c>
      <c r="B1380" s="108"/>
      <c r="C1380" s="108"/>
      <c r="D1380" s="108"/>
      <c r="E1380" s="28" t="s">
        <v>547</v>
      </c>
      <c r="F1380" s="29">
        <v>1</v>
      </c>
      <c r="G1380" s="44">
        <v>320.43</v>
      </c>
      <c r="H1380" s="49"/>
      <c r="I1380" s="44">
        <v>320.43</v>
      </c>
    </row>
    <row r="1381" spans="1:9" s="18" customFormat="1" ht="21.95" hidden="1" customHeight="1" outlineLevel="2" x14ac:dyDescent="0.2">
      <c r="A1381" s="108" t="s">
        <v>822</v>
      </c>
      <c r="B1381" s="108"/>
      <c r="C1381" s="108"/>
      <c r="D1381" s="108"/>
      <c r="E1381" s="28" t="s">
        <v>547</v>
      </c>
      <c r="F1381" s="29">
        <v>1</v>
      </c>
      <c r="G1381" s="44">
        <v>372.24</v>
      </c>
      <c r="H1381" s="49"/>
      <c r="I1381" s="44">
        <v>372.24</v>
      </c>
    </row>
    <row r="1382" spans="1:9" s="18" customFormat="1" ht="11.1" hidden="1" customHeight="1" outlineLevel="2" collapsed="1" x14ac:dyDescent="0.2">
      <c r="A1382" s="108" t="s">
        <v>1121</v>
      </c>
      <c r="B1382" s="108"/>
      <c r="C1382" s="108"/>
      <c r="D1382" s="108"/>
      <c r="E1382" s="28" t="s">
        <v>547</v>
      </c>
      <c r="F1382" s="29">
        <v>10</v>
      </c>
      <c r="G1382" s="30">
        <v>2779.2</v>
      </c>
      <c r="H1382" s="49"/>
      <c r="I1382" s="30">
        <v>2779.2</v>
      </c>
    </row>
    <row r="1383" spans="1:9" s="18" customFormat="1" ht="11.1" hidden="1" customHeight="1" outlineLevel="1" collapsed="1" x14ac:dyDescent="0.2">
      <c r="A1383" s="107" t="s">
        <v>1122</v>
      </c>
      <c r="B1383" s="107"/>
      <c r="C1383" s="107"/>
      <c r="D1383" s="107"/>
      <c r="E1383" s="107"/>
      <c r="F1383" s="25">
        <v>500</v>
      </c>
      <c r="G1383" s="34">
        <v>151720</v>
      </c>
      <c r="H1383" s="48"/>
      <c r="I1383" s="34">
        <v>151720</v>
      </c>
    </row>
    <row r="1384" spans="1:9" s="18" customFormat="1" ht="11.1" hidden="1" customHeight="1" outlineLevel="2" collapsed="1" x14ac:dyDescent="0.2">
      <c r="A1384" s="108" t="s">
        <v>830</v>
      </c>
      <c r="B1384" s="108"/>
      <c r="C1384" s="108"/>
      <c r="D1384" s="108"/>
      <c r="E1384" s="28" t="s">
        <v>547</v>
      </c>
      <c r="F1384" s="29">
        <v>500</v>
      </c>
      <c r="G1384" s="30">
        <v>151720</v>
      </c>
      <c r="H1384" s="49"/>
      <c r="I1384" s="30">
        <v>151720</v>
      </c>
    </row>
    <row r="1385" spans="1:9" s="18" customFormat="1" ht="11.1" hidden="1" customHeight="1" outlineLevel="1" collapsed="1" x14ac:dyDescent="0.2">
      <c r="A1385" s="107" t="s">
        <v>1123</v>
      </c>
      <c r="B1385" s="107"/>
      <c r="C1385" s="107"/>
      <c r="D1385" s="107"/>
      <c r="E1385" s="107"/>
      <c r="F1385" s="25">
        <v>2</v>
      </c>
      <c r="G1385" s="26">
        <v>20053.580000000002</v>
      </c>
      <c r="H1385" s="48"/>
      <c r="I1385" s="26">
        <v>20053.580000000002</v>
      </c>
    </row>
    <row r="1386" spans="1:9" s="18" customFormat="1" ht="11.1" hidden="1" customHeight="1" outlineLevel="2" collapsed="1" x14ac:dyDescent="0.2">
      <c r="A1386" s="108" t="s">
        <v>1124</v>
      </c>
      <c r="B1386" s="108"/>
      <c r="C1386" s="108"/>
      <c r="D1386" s="108"/>
      <c r="E1386" s="28" t="s">
        <v>547</v>
      </c>
      <c r="F1386" s="29">
        <v>2</v>
      </c>
      <c r="G1386" s="30">
        <v>20053.580000000002</v>
      </c>
      <c r="H1386" s="49"/>
      <c r="I1386" s="30">
        <v>20053.580000000002</v>
      </c>
    </row>
    <row r="1387" spans="1:9" s="18" customFormat="1" ht="11.1" hidden="1" customHeight="1" outlineLevel="1" collapsed="1" x14ac:dyDescent="0.2">
      <c r="A1387" s="107" t="s">
        <v>1125</v>
      </c>
      <c r="B1387" s="107"/>
      <c r="C1387" s="107"/>
      <c r="D1387" s="107"/>
      <c r="E1387" s="107"/>
      <c r="F1387" s="25">
        <v>9</v>
      </c>
      <c r="G1387" s="26">
        <v>10913.01</v>
      </c>
      <c r="H1387" s="48"/>
      <c r="I1387" s="26">
        <v>10913.01</v>
      </c>
    </row>
    <row r="1388" spans="1:9" s="18" customFormat="1" ht="11.1" hidden="1" customHeight="1" outlineLevel="2" x14ac:dyDescent="0.2">
      <c r="A1388" s="108" t="s">
        <v>1126</v>
      </c>
      <c r="B1388" s="108"/>
      <c r="C1388" s="108"/>
      <c r="D1388" s="108"/>
      <c r="E1388" s="28" t="s">
        <v>547</v>
      </c>
      <c r="F1388" s="29">
        <v>5</v>
      </c>
      <c r="G1388" s="30">
        <v>1564.85</v>
      </c>
      <c r="H1388" s="49"/>
      <c r="I1388" s="30">
        <v>1564.85</v>
      </c>
    </row>
    <row r="1389" spans="1:9" s="18" customFormat="1" ht="11.1" hidden="1" customHeight="1" outlineLevel="2" collapsed="1" x14ac:dyDescent="0.2">
      <c r="A1389" s="108" t="s">
        <v>940</v>
      </c>
      <c r="B1389" s="108"/>
      <c r="C1389" s="108"/>
      <c r="D1389" s="108"/>
      <c r="E1389" s="28" t="s">
        <v>547</v>
      </c>
      <c r="F1389" s="29">
        <v>4</v>
      </c>
      <c r="G1389" s="30">
        <v>9348.16</v>
      </c>
      <c r="H1389" s="49"/>
      <c r="I1389" s="30">
        <v>9348.16</v>
      </c>
    </row>
    <row r="1390" spans="1:9" s="18" customFormat="1" ht="11.1" hidden="1" customHeight="1" outlineLevel="1" collapsed="1" x14ac:dyDescent="0.2">
      <c r="A1390" s="107" t="s">
        <v>1127</v>
      </c>
      <c r="B1390" s="107"/>
      <c r="C1390" s="107"/>
      <c r="D1390" s="107"/>
      <c r="E1390" s="107"/>
      <c r="F1390" s="25">
        <v>4</v>
      </c>
      <c r="G1390" s="26">
        <v>29057.47</v>
      </c>
      <c r="H1390" s="48"/>
      <c r="I1390" s="26">
        <v>29057.47</v>
      </c>
    </row>
    <row r="1391" spans="1:9" s="18" customFormat="1" ht="11.1" hidden="1" customHeight="1" outlineLevel="2" x14ac:dyDescent="0.2">
      <c r="A1391" s="108" t="s">
        <v>942</v>
      </c>
      <c r="B1391" s="108"/>
      <c r="C1391" s="108"/>
      <c r="D1391" s="108"/>
      <c r="E1391" s="28" t="s">
        <v>547</v>
      </c>
      <c r="F1391" s="29">
        <v>1</v>
      </c>
      <c r="G1391" s="30">
        <v>2687.73</v>
      </c>
      <c r="H1391" s="49"/>
      <c r="I1391" s="30">
        <v>2687.73</v>
      </c>
    </row>
    <row r="1392" spans="1:9" s="18" customFormat="1" ht="11.1" hidden="1" customHeight="1" outlineLevel="2" x14ac:dyDescent="0.2">
      <c r="A1392" s="108" t="s">
        <v>1002</v>
      </c>
      <c r="B1392" s="108"/>
      <c r="C1392" s="108"/>
      <c r="D1392" s="108"/>
      <c r="E1392" s="28" t="s">
        <v>547</v>
      </c>
      <c r="F1392" s="29">
        <v>2</v>
      </c>
      <c r="G1392" s="30">
        <v>23432.6</v>
      </c>
      <c r="H1392" s="49"/>
      <c r="I1392" s="30">
        <v>23432.6</v>
      </c>
    </row>
    <row r="1393" spans="1:9" s="18" customFormat="1" ht="11.1" hidden="1" customHeight="1" outlineLevel="2" collapsed="1" x14ac:dyDescent="0.2">
      <c r="A1393" s="108" t="s">
        <v>1128</v>
      </c>
      <c r="B1393" s="108"/>
      <c r="C1393" s="108"/>
      <c r="D1393" s="108"/>
      <c r="E1393" s="28" t="s">
        <v>547</v>
      </c>
      <c r="F1393" s="29">
        <v>1</v>
      </c>
      <c r="G1393" s="30">
        <v>2937.14</v>
      </c>
      <c r="H1393" s="49"/>
      <c r="I1393" s="30">
        <v>2937.14</v>
      </c>
    </row>
    <row r="1394" spans="1:9" s="18" customFormat="1" ht="11.1" hidden="1" customHeight="1" outlineLevel="1" collapsed="1" x14ac:dyDescent="0.2">
      <c r="A1394" s="107" t="s">
        <v>1129</v>
      </c>
      <c r="B1394" s="107"/>
      <c r="C1394" s="107"/>
      <c r="D1394" s="107"/>
      <c r="E1394" s="107"/>
      <c r="F1394" s="25">
        <v>9</v>
      </c>
      <c r="G1394" s="26">
        <v>3509.52</v>
      </c>
      <c r="H1394" s="48"/>
      <c r="I1394" s="26">
        <v>3509.52</v>
      </c>
    </row>
    <row r="1395" spans="1:9" s="18" customFormat="1" ht="21.95" hidden="1" customHeight="1" outlineLevel="2" x14ac:dyDescent="0.2">
      <c r="A1395" s="108" t="s">
        <v>822</v>
      </c>
      <c r="B1395" s="108"/>
      <c r="C1395" s="108"/>
      <c r="D1395" s="108"/>
      <c r="E1395" s="28" t="s">
        <v>547</v>
      </c>
      <c r="F1395" s="29">
        <v>3</v>
      </c>
      <c r="G1395" s="30">
        <v>1111.08</v>
      </c>
      <c r="H1395" s="49"/>
      <c r="I1395" s="30">
        <v>1111.08</v>
      </c>
    </row>
    <row r="1396" spans="1:9" s="18" customFormat="1" ht="11.1" hidden="1" customHeight="1" outlineLevel="2" x14ac:dyDescent="0.2">
      <c r="A1396" s="108" t="s">
        <v>823</v>
      </c>
      <c r="B1396" s="108"/>
      <c r="C1396" s="108"/>
      <c r="D1396" s="108"/>
      <c r="E1396" s="28" t="s">
        <v>547</v>
      </c>
      <c r="F1396" s="29">
        <v>3</v>
      </c>
      <c r="G1396" s="30">
        <v>1202.8499999999999</v>
      </c>
      <c r="H1396" s="49"/>
      <c r="I1396" s="30">
        <v>1202.8499999999999</v>
      </c>
    </row>
    <row r="1397" spans="1:9" s="18" customFormat="1" ht="21.95" hidden="1" customHeight="1" outlineLevel="2" collapsed="1" x14ac:dyDescent="0.2">
      <c r="A1397" s="108" t="s">
        <v>821</v>
      </c>
      <c r="B1397" s="108"/>
      <c r="C1397" s="108"/>
      <c r="D1397" s="108"/>
      <c r="E1397" s="28" t="s">
        <v>547</v>
      </c>
      <c r="F1397" s="29">
        <v>3</v>
      </c>
      <c r="G1397" s="30">
        <v>1195.5899999999999</v>
      </c>
      <c r="H1397" s="49"/>
      <c r="I1397" s="30">
        <v>1195.5899999999999</v>
      </c>
    </row>
    <row r="1398" spans="1:9" s="18" customFormat="1" ht="11.1" hidden="1" customHeight="1" outlineLevel="1" collapsed="1" x14ac:dyDescent="0.2">
      <c r="A1398" s="107" t="s">
        <v>1130</v>
      </c>
      <c r="B1398" s="107"/>
      <c r="C1398" s="107"/>
      <c r="D1398" s="107"/>
      <c r="E1398" s="107"/>
      <c r="F1398" s="25">
        <v>2</v>
      </c>
      <c r="G1398" s="26">
        <v>1554.42</v>
      </c>
      <c r="H1398" s="48"/>
      <c r="I1398" s="26">
        <v>1554.42</v>
      </c>
    </row>
    <row r="1399" spans="1:9" s="18" customFormat="1" ht="11.1" hidden="1" customHeight="1" outlineLevel="2" collapsed="1" x14ac:dyDescent="0.2">
      <c r="A1399" s="108" t="s">
        <v>910</v>
      </c>
      <c r="B1399" s="108"/>
      <c r="C1399" s="108"/>
      <c r="D1399" s="108"/>
      <c r="E1399" s="28" t="s">
        <v>547</v>
      </c>
      <c r="F1399" s="29">
        <v>2</v>
      </c>
      <c r="G1399" s="30">
        <v>1554.42</v>
      </c>
      <c r="H1399" s="49"/>
      <c r="I1399" s="30">
        <v>1554.42</v>
      </c>
    </row>
    <row r="1400" spans="1:9" s="18" customFormat="1" ht="11.1" hidden="1" customHeight="1" outlineLevel="1" collapsed="1" x14ac:dyDescent="0.2">
      <c r="A1400" s="107" t="s">
        <v>1131</v>
      </c>
      <c r="B1400" s="107"/>
      <c r="C1400" s="107"/>
      <c r="D1400" s="107"/>
      <c r="E1400" s="107"/>
      <c r="F1400" s="25">
        <v>100</v>
      </c>
      <c r="G1400" s="34">
        <v>76931</v>
      </c>
      <c r="H1400" s="48"/>
      <c r="I1400" s="34">
        <v>76931</v>
      </c>
    </row>
    <row r="1401" spans="1:9" s="18" customFormat="1" ht="11.1" hidden="1" customHeight="1" outlineLevel="2" collapsed="1" x14ac:dyDescent="0.2">
      <c r="A1401" s="108" t="s">
        <v>1132</v>
      </c>
      <c r="B1401" s="108"/>
      <c r="C1401" s="108"/>
      <c r="D1401" s="108"/>
      <c r="E1401" s="28" t="s">
        <v>547</v>
      </c>
      <c r="F1401" s="29">
        <v>100</v>
      </c>
      <c r="G1401" s="30">
        <v>76931</v>
      </c>
      <c r="H1401" s="49"/>
      <c r="I1401" s="30">
        <v>76931</v>
      </c>
    </row>
    <row r="1402" spans="1:9" s="18" customFormat="1" ht="11.1" hidden="1" customHeight="1" outlineLevel="1" collapsed="1" x14ac:dyDescent="0.2">
      <c r="A1402" s="107" t="s">
        <v>1133</v>
      </c>
      <c r="B1402" s="107"/>
      <c r="C1402" s="107"/>
      <c r="D1402" s="107"/>
      <c r="E1402" s="107"/>
      <c r="F1402" s="25">
        <v>8</v>
      </c>
      <c r="G1402" s="26">
        <v>469481.76</v>
      </c>
      <c r="H1402" s="48"/>
      <c r="I1402" s="26">
        <v>469481.76</v>
      </c>
    </row>
    <row r="1403" spans="1:9" s="18" customFormat="1" ht="11.1" hidden="1" customHeight="1" outlineLevel="2" collapsed="1" x14ac:dyDescent="0.2">
      <c r="A1403" s="108" t="s">
        <v>1134</v>
      </c>
      <c r="B1403" s="108"/>
      <c r="C1403" s="108"/>
      <c r="D1403" s="108"/>
      <c r="E1403" s="28" t="s">
        <v>547</v>
      </c>
      <c r="F1403" s="29">
        <v>8</v>
      </c>
      <c r="G1403" s="30">
        <v>469481.76</v>
      </c>
      <c r="H1403" s="49"/>
      <c r="I1403" s="30">
        <v>469481.76</v>
      </c>
    </row>
    <row r="1404" spans="1:9" s="18" customFormat="1" ht="11.1" hidden="1" customHeight="1" outlineLevel="1" collapsed="1" x14ac:dyDescent="0.2">
      <c r="A1404" s="107" t="s">
        <v>1135</v>
      </c>
      <c r="B1404" s="107"/>
      <c r="C1404" s="107"/>
      <c r="D1404" s="107"/>
      <c r="E1404" s="107"/>
      <c r="F1404" s="25">
        <v>7</v>
      </c>
      <c r="G1404" s="26">
        <v>13956.11</v>
      </c>
      <c r="H1404" s="48"/>
      <c r="I1404" s="26">
        <v>13956.11</v>
      </c>
    </row>
    <row r="1405" spans="1:9" s="18" customFormat="1" ht="11.1" hidden="1" customHeight="1" outlineLevel="2" x14ac:dyDescent="0.2">
      <c r="A1405" s="108" t="s">
        <v>824</v>
      </c>
      <c r="B1405" s="108"/>
      <c r="C1405" s="108"/>
      <c r="D1405" s="108"/>
      <c r="E1405" s="28" t="s">
        <v>547</v>
      </c>
      <c r="F1405" s="29">
        <v>1</v>
      </c>
      <c r="G1405" s="30">
        <v>1825.25</v>
      </c>
      <c r="H1405" s="49"/>
      <c r="I1405" s="30">
        <v>1825.25</v>
      </c>
    </row>
    <row r="1406" spans="1:9" s="18" customFormat="1" ht="11.1" hidden="1" customHeight="1" outlineLevel="2" collapsed="1" x14ac:dyDescent="0.2">
      <c r="A1406" s="108" t="s">
        <v>824</v>
      </c>
      <c r="B1406" s="108"/>
      <c r="C1406" s="108"/>
      <c r="D1406" s="108"/>
      <c r="E1406" s="28" t="s">
        <v>547</v>
      </c>
      <c r="F1406" s="29">
        <v>6</v>
      </c>
      <c r="G1406" s="30">
        <v>12130.86</v>
      </c>
      <c r="H1406" s="49"/>
      <c r="I1406" s="30">
        <v>12130.86</v>
      </c>
    </row>
    <row r="1407" spans="1:9" s="18" customFormat="1" ht="11.1" hidden="1" customHeight="1" outlineLevel="1" collapsed="1" x14ac:dyDescent="0.2">
      <c r="A1407" s="107" t="s">
        <v>1136</v>
      </c>
      <c r="B1407" s="107"/>
      <c r="C1407" s="107"/>
      <c r="D1407" s="107"/>
      <c r="E1407" s="107"/>
      <c r="F1407" s="25">
        <v>33</v>
      </c>
      <c r="G1407" s="26">
        <v>88554.84</v>
      </c>
      <c r="H1407" s="48"/>
      <c r="I1407" s="26">
        <v>88554.84</v>
      </c>
    </row>
    <row r="1408" spans="1:9" s="18" customFormat="1" ht="11.1" hidden="1" customHeight="1" outlineLevel="2" x14ac:dyDescent="0.2">
      <c r="A1408" s="108" t="s">
        <v>1137</v>
      </c>
      <c r="B1408" s="108"/>
      <c r="C1408" s="108"/>
      <c r="D1408" s="108"/>
      <c r="E1408" s="28" t="s">
        <v>547</v>
      </c>
      <c r="F1408" s="29">
        <v>3</v>
      </c>
      <c r="G1408" s="30">
        <v>44968.29</v>
      </c>
      <c r="H1408" s="49"/>
      <c r="I1408" s="30">
        <v>44968.29</v>
      </c>
    </row>
    <row r="1409" spans="1:9" s="18" customFormat="1" ht="11.1" hidden="1" customHeight="1" outlineLevel="2" x14ac:dyDescent="0.2">
      <c r="A1409" s="108" t="s">
        <v>833</v>
      </c>
      <c r="B1409" s="108"/>
      <c r="C1409" s="108"/>
      <c r="D1409" s="108"/>
      <c r="E1409" s="28" t="s">
        <v>547</v>
      </c>
      <c r="F1409" s="29">
        <v>9</v>
      </c>
      <c r="G1409" s="30">
        <v>4304.88</v>
      </c>
      <c r="H1409" s="49"/>
      <c r="I1409" s="30">
        <v>4304.88</v>
      </c>
    </row>
    <row r="1410" spans="1:9" s="18" customFormat="1" ht="11.1" hidden="1" customHeight="1" outlineLevel="2" x14ac:dyDescent="0.2">
      <c r="A1410" s="108" t="s">
        <v>1138</v>
      </c>
      <c r="B1410" s="108"/>
      <c r="C1410" s="108"/>
      <c r="D1410" s="108"/>
      <c r="E1410" s="28" t="s">
        <v>547</v>
      </c>
      <c r="F1410" s="29">
        <v>9</v>
      </c>
      <c r="G1410" s="30">
        <v>1776.15</v>
      </c>
      <c r="H1410" s="49"/>
      <c r="I1410" s="30">
        <v>1776.15</v>
      </c>
    </row>
    <row r="1411" spans="1:9" s="18" customFormat="1" ht="11.1" hidden="1" customHeight="1" outlineLevel="2" x14ac:dyDescent="0.2">
      <c r="A1411" s="108" t="s">
        <v>1139</v>
      </c>
      <c r="B1411" s="108"/>
      <c r="C1411" s="108"/>
      <c r="D1411" s="108"/>
      <c r="E1411" s="28" t="s">
        <v>547</v>
      </c>
      <c r="F1411" s="29">
        <v>9</v>
      </c>
      <c r="G1411" s="30">
        <v>1467.18</v>
      </c>
      <c r="H1411" s="49"/>
      <c r="I1411" s="30">
        <v>1467.18</v>
      </c>
    </row>
    <row r="1412" spans="1:9" s="18" customFormat="1" ht="11.1" hidden="1" customHeight="1" outlineLevel="2" collapsed="1" x14ac:dyDescent="0.2">
      <c r="A1412" s="108" t="s">
        <v>1140</v>
      </c>
      <c r="B1412" s="108"/>
      <c r="C1412" s="108"/>
      <c r="D1412" s="108"/>
      <c r="E1412" s="28" t="s">
        <v>547</v>
      </c>
      <c r="F1412" s="29">
        <v>3</v>
      </c>
      <c r="G1412" s="30">
        <v>36038.339999999997</v>
      </c>
      <c r="H1412" s="49"/>
      <c r="I1412" s="30">
        <v>36038.339999999997</v>
      </c>
    </row>
    <row r="1413" spans="1:9" s="18" customFormat="1" ht="11.1" hidden="1" customHeight="1" outlineLevel="1" collapsed="1" x14ac:dyDescent="0.2">
      <c r="A1413" s="107" t="s">
        <v>1141</v>
      </c>
      <c r="B1413" s="107"/>
      <c r="C1413" s="107"/>
      <c r="D1413" s="107"/>
      <c r="E1413" s="107"/>
      <c r="F1413" s="25">
        <v>80</v>
      </c>
      <c r="G1413" s="26">
        <v>303432.77</v>
      </c>
      <c r="H1413" s="48"/>
      <c r="I1413" s="26">
        <v>303432.77</v>
      </c>
    </row>
    <row r="1414" spans="1:9" s="18" customFormat="1" ht="11.1" hidden="1" customHeight="1" outlineLevel="2" x14ac:dyDescent="0.2">
      <c r="A1414" s="108" t="s">
        <v>1140</v>
      </c>
      <c r="B1414" s="108"/>
      <c r="C1414" s="108"/>
      <c r="D1414" s="108"/>
      <c r="E1414" s="28" t="s">
        <v>547</v>
      </c>
      <c r="F1414" s="29">
        <v>20</v>
      </c>
      <c r="G1414" s="30">
        <v>240255.6</v>
      </c>
      <c r="H1414" s="49"/>
      <c r="I1414" s="30">
        <v>240255.6</v>
      </c>
    </row>
    <row r="1415" spans="1:9" s="18" customFormat="1" ht="11.1" hidden="1" customHeight="1" outlineLevel="2" x14ac:dyDescent="0.2">
      <c r="A1415" s="108" t="s">
        <v>824</v>
      </c>
      <c r="B1415" s="108"/>
      <c r="C1415" s="108"/>
      <c r="D1415" s="108"/>
      <c r="E1415" s="28" t="s">
        <v>547</v>
      </c>
      <c r="F1415" s="29">
        <v>19</v>
      </c>
      <c r="G1415" s="30">
        <v>34661.32</v>
      </c>
      <c r="H1415" s="49"/>
      <c r="I1415" s="30">
        <v>34661.32</v>
      </c>
    </row>
    <row r="1416" spans="1:9" s="18" customFormat="1" ht="11.1" hidden="1" customHeight="1" outlineLevel="2" x14ac:dyDescent="0.2">
      <c r="A1416" s="108" t="s">
        <v>824</v>
      </c>
      <c r="B1416" s="108"/>
      <c r="C1416" s="108"/>
      <c r="D1416" s="108"/>
      <c r="E1416" s="28" t="s">
        <v>547</v>
      </c>
      <c r="F1416" s="29">
        <v>1</v>
      </c>
      <c r="G1416" s="30">
        <v>1825.25</v>
      </c>
      <c r="H1416" s="49"/>
      <c r="I1416" s="30">
        <v>1825.25</v>
      </c>
    </row>
    <row r="1417" spans="1:9" s="18" customFormat="1" ht="21.95" hidden="1" customHeight="1" outlineLevel="2" x14ac:dyDescent="0.2">
      <c r="A1417" s="108" t="s">
        <v>874</v>
      </c>
      <c r="B1417" s="108"/>
      <c r="C1417" s="108"/>
      <c r="D1417" s="108"/>
      <c r="E1417" s="28" t="s">
        <v>547</v>
      </c>
      <c r="F1417" s="29">
        <v>20</v>
      </c>
      <c r="G1417" s="30">
        <v>11151.2</v>
      </c>
      <c r="H1417" s="49"/>
      <c r="I1417" s="30">
        <v>11151.2</v>
      </c>
    </row>
    <row r="1418" spans="1:9" s="18" customFormat="1" ht="11.1" hidden="1" customHeight="1" outlineLevel="2" collapsed="1" x14ac:dyDescent="0.2">
      <c r="A1418" s="108" t="s">
        <v>1142</v>
      </c>
      <c r="B1418" s="108"/>
      <c r="C1418" s="108"/>
      <c r="D1418" s="108"/>
      <c r="E1418" s="28" t="s">
        <v>547</v>
      </c>
      <c r="F1418" s="29">
        <v>20</v>
      </c>
      <c r="G1418" s="30">
        <v>15539.4</v>
      </c>
      <c r="H1418" s="49"/>
      <c r="I1418" s="30">
        <v>15539.4</v>
      </c>
    </row>
    <row r="1419" spans="1:9" s="18" customFormat="1" ht="11.1" hidden="1" customHeight="1" outlineLevel="1" collapsed="1" x14ac:dyDescent="0.2">
      <c r="A1419" s="107" t="s">
        <v>1143</v>
      </c>
      <c r="B1419" s="107"/>
      <c r="C1419" s="107"/>
      <c r="D1419" s="107"/>
      <c r="E1419" s="107"/>
      <c r="F1419" s="25">
        <v>15</v>
      </c>
      <c r="G1419" s="39">
        <v>5818.6</v>
      </c>
      <c r="H1419" s="48"/>
      <c r="I1419" s="39">
        <v>5818.6</v>
      </c>
    </row>
    <row r="1420" spans="1:9" s="18" customFormat="1" ht="11.1" hidden="1" customHeight="1" outlineLevel="2" x14ac:dyDescent="0.2">
      <c r="A1420" s="108" t="s">
        <v>823</v>
      </c>
      <c r="B1420" s="108"/>
      <c r="C1420" s="108"/>
      <c r="D1420" s="108"/>
      <c r="E1420" s="28" t="s">
        <v>547</v>
      </c>
      <c r="F1420" s="29">
        <v>5</v>
      </c>
      <c r="G1420" s="30">
        <v>1979.6</v>
      </c>
      <c r="H1420" s="49"/>
      <c r="I1420" s="30">
        <v>1979.6</v>
      </c>
    </row>
    <row r="1421" spans="1:9" s="18" customFormat="1" ht="21.95" hidden="1" customHeight="1" outlineLevel="2" x14ac:dyDescent="0.2">
      <c r="A1421" s="108" t="s">
        <v>822</v>
      </c>
      <c r="B1421" s="108"/>
      <c r="C1421" s="108"/>
      <c r="D1421" s="108"/>
      <c r="E1421" s="28" t="s">
        <v>547</v>
      </c>
      <c r="F1421" s="29">
        <v>5</v>
      </c>
      <c r="G1421" s="30">
        <v>1849.7</v>
      </c>
      <c r="H1421" s="49"/>
      <c r="I1421" s="30">
        <v>1849.7</v>
      </c>
    </row>
    <row r="1422" spans="1:9" s="18" customFormat="1" ht="21.95" hidden="1" customHeight="1" outlineLevel="2" collapsed="1" x14ac:dyDescent="0.2">
      <c r="A1422" s="108" t="s">
        <v>821</v>
      </c>
      <c r="B1422" s="108"/>
      <c r="C1422" s="108"/>
      <c r="D1422" s="108"/>
      <c r="E1422" s="28" t="s">
        <v>547</v>
      </c>
      <c r="F1422" s="29">
        <v>5</v>
      </c>
      <c r="G1422" s="30">
        <v>1989.3</v>
      </c>
      <c r="H1422" s="49"/>
      <c r="I1422" s="30">
        <v>1989.3</v>
      </c>
    </row>
    <row r="1423" spans="1:9" s="18" customFormat="1" ht="11.1" hidden="1" customHeight="1" outlineLevel="1" collapsed="1" x14ac:dyDescent="0.2">
      <c r="A1423" s="107" t="s">
        <v>1144</v>
      </c>
      <c r="B1423" s="107"/>
      <c r="C1423" s="107"/>
      <c r="D1423" s="107"/>
      <c r="E1423" s="107"/>
      <c r="F1423" s="25">
        <v>30</v>
      </c>
      <c r="G1423" s="34">
        <v>37908</v>
      </c>
      <c r="H1423" s="48"/>
      <c r="I1423" s="34">
        <v>37908</v>
      </c>
    </row>
    <row r="1424" spans="1:9" s="18" customFormat="1" ht="11.1" hidden="1" customHeight="1" outlineLevel="2" collapsed="1" x14ac:dyDescent="0.2">
      <c r="A1424" s="108" t="s">
        <v>1145</v>
      </c>
      <c r="B1424" s="108"/>
      <c r="C1424" s="108"/>
      <c r="D1424" s="108"/>
      <c r="E1424" s="28" t="s">
        <v>547</v>
      </c>
      <c r="F1424" s="29">
        <v>30</v>
      </c>
      <c r="G1424" s="30">
        <v>37908</v>
      </c>
      <c r="H1424" s="49"/>
      <c r="I1424" s="30">
        <v>37908</v>
      </c>
    </row>
    <row r="1425" spans="1:9" s="18" customFormat="1" ht="11.1" hidden="1" customHeight="1" outlineLevel="1" collapsed="1" x14ac:dyDescent="0.2">
      <c r="A1425" s="107" t="s">
        <v>1146</v>
      </c>
      <c r="B1425" s="107"/>
      <c r="C1425" s="107"/>
      <c r="D1425" s="107"/>
      <c r="E1425" s="107"/>
      <c r="F1425" s="25">
        <v>5</v>
      </c>
      <c r="G1425" s="39">
        <v>9061.7999999999993</v>
      </c>
      <c r="H1425" s="48"/>
      <c r="I1425" s="39">
        <v>9061.7999999999993</v>
      </c>
    </row>
    <row r="1426" spans="1:9" s="18" customFormat="1" ht="11.1" hidden="1" customHeight="1" outlineLevel="2" collapsed="1" x14ac:dyDescent="0.2">
      <c r="A1426" s="108" t="s">
        <v>824</v>
      </c>
      <c r="B1426" s="108"/>
      <c r="C1426" s="108"/>
      <c r="D1426" s="108"/>
      <c r="E1426" s="28" t="s">
        <v>547</v>
      </c>
      <c r="F1426" s="29">
        <v>5</v>
      </c>
      <c r="G1426" s="30">
        <v>9061.7999999999993</v>
      </c>
      <c r="H1426" s="49"/>
      <c r="I1426" s="30">
        <v>9061.7999999999993</v>
      </c>
    </row>
    <row r="1427" spans="1:9" s="18" customFormat="1" ht="11.1" hidden="1" customHeight="1" outlineLevel="1" collapsed="1" x14ac:dyDescent="0.2">
      <c r="A1427" s="107" t="s">
        <v>1147</v>
      </c>
      <c r="B1427" s="107"/>
      <c r="C1427" s="107"/>
      <c r="D1427" s="107"/>
      <c r="E1427" s="107"/>
      <c r="F1427" s="25">
        <v>49</v>
      </c>
      <c r="G1427" s="26">
        <v>35777.78</v>
      </c>
      <c r="H1427" s="48"/>
      <c r="I1427" s="26">
        <v>35777.78</v>
      </c>
    </row>
    <row r="1428" spans="1:9" s="18" customFormat="1" ht="11.1" hidden="1" customHeight="1" outlineLevel="2" x14ac:dyDescent="0.2">
      <c r="A1428" s="108" t="s">
        <v>834</v>
      </c>
      <c r="B1428" s="108"/>
      <c r="C1428" s="108"/>
      <c r="D1428" s="108"/>
      <c r="E1428" s="28" t="s">
        <v>547</v>
      </c>
      <c r="F1428" s="29">
        <v>19</v>
      </c>
      <c r="G1428" s="30">
        <v>4254.4799999999996</v>
      </c>
      <c r="H1428" s="49"/>
      <c r="I1428" s="30">
        <v>4254.4799999999996</v>
      </c>
    </row>
    <row r="1429" spans="1:9" s="18" customFormat="1" ht="11.1" hidden="1" customHeight="1" outlineLevel="2" x14ac:dyDescent="0.2">
      <c r="A1429" s="108" t="s">
        <v>910</v>
      </c>
      <c r="B1429" s="108"/>
      <c r="C1429" s="108"/>
      <c r="D1429" s="108"/>
      <c r="E1429" s="28" t="s">
        <v>547</v>
      </c>
      <c r="F1429" s="29">
        <v>10</v>
      </c>
      <c r="G1429" s="30">
        <v>8172.2</v>
      </c>
      <c r="H1429" s="49"/>
      <c r="I1429" s="30">
        <v>8172.2</v>
      </c>
    </row>
    <row r="1430" spans="1:9" s="18" customFormat="1" ht="11.1" hidden="1" customHeight="1" outlineLevel="2" x14ac:dyDescent="0.2">
      <c r="A1430" s="108" t="s">
        <v>833</v>
      </c>
      <c r="B1430" s="108"/>
      <c r="C1430" s="108"/>
      <c r="D1430" s="108"/>
      <c r="E1430" s="28" t="s">
        <v>547</v>
      </c>
      <c r="F1430" s="29">
        <v>10</v>
      </c>
      <c r="G1430" s="30">
        <v>5036.1000000000004</v>
      </c>
      <c r="H1430" s="49"/>
      <c r="I1430" s="30">
        <v>5036.1000000000004</v>
      </c>
    </row>
    <row r="1431" spans="1:9" s="18" customFormat="1" ht="11.1" hidden="1" customHeight="1" outlineLevel="2" x14ac:dyDescent="0.2">
      <c r="A1431" s="108" t="s">
        <v>873</v>
      </c>
      <c r="B1431" s="108"/>
      <c r="C1431" s="108"/>
      <c r="D1431" s="108"/>
      <c r="E1431" s="28" t="s">
        <v>547</v>
      </c>
      <c r="F1431" s="29">
        <v>5</v>
      </c>
      <c r="G1431" s="30">
        <v>8205.4500000000007</v>
      </c>
      <c r="H1431" s="49"/>
      <c r="I1431" s="30">
        <v>8205.4500000000007</v>
      </c>
    </row>
    <row r="1432" spans="1:9" s="18" customFormat="1" ht="21.95" hidden="1" customHeight="1" outlineLevel="2" collapsed="1" x14ac:dyDescent="0.2">
      <c r="A1432" s="108" t="s">
        <v>1148</v>
      </c>
      <c r="B1432" s="108"/>
      <c r="C1432" s="108"/>
      <c r="D1432" s="108"/>
      <c r="E1432" s="28" t="s">
        <v>547</v>
      </c>
      <c r="F1432" s="29">
        <v>5</v>
      </c>
      <c r="G1432" s="30">
        <v>10109.549999999999</v>
      </c>
      <c r="H1432" s="49"/>
      <c r="I1432" s="30">
        <v>10109.549999999999</v>
      </c>
    </row>
    <row r="1433" spans="1:9" s="18" customFormat="1" ht="11.1" hidden="1" customHeight="1" outlineLevel="1" collapsed="1" x14ac:dyDescent="0.2">
      <c r="A1433" s="107" t="s">
        <v>1149</v>
      </c>
      <c r="B1433" s="107"/>
      <c r="C1433" s="107"/>
      <c r="D1433" s="107"/>
      <c r="E1433" s="107"/>
      <c r="F1433" s="25">
        <v>5</v>
      </c>
      <c r="G1433" s="26">
        <v>116330.23</v>
      </c>
      <c r="H1433" s="48"/>
      <c r="I1433" s="26">
        <v>116330.23</v>
      </c>
    </row>
    <row r="1434" spans="1:9" s="18" customFormat="1" ht="11.1" hidden="1" customHeight="1" outlineLevel="2" x14ac:dyDescent="0.2">
      <c r="A1434" s="108" t="s">
        <v>1150</v>
      </c>
      <c r="B1434" s="108"/>
      <c r="C1434" s="108"/>
      <c r="D1434" s="108"/>
      <c r="E1434" s="28" t="s">
        <v>547</v>
      </c>
      <c r="F1434" s="29">
        <v>1</v>
      </c>
      <c r="G1434" s="30">
        <v>6148.18</v>
      </c>
      <c r="H1434" s="49"/>
      <c r="I1434" s="30">
        <v>6148.18</v>
      </c>
    </row>
    <row r="1435" spans="1:9" s="18" customFormat="1" ht="11.1" hidden="1" customHeight="1" outlineLevel="2" x14ac:dyDescent="0.2">
      <c r="A1435" s="108" t="s">
        <v>1038</v>
      </c>
      <c r="B1435" s="108"/>
      <c r="C1435" s="108"/>
      <c r="D1435" s="108"/>
      <c r="E1435" s="28" t="s">
        <v>547</v>
      </c>
      <c r="F1435" s="29">
        <v>1</v>
      </c>
      <c r="G1435" s="30">
        <v>12929.87</v>
      </c>
      <c r="H1435" s="49"/>
      <c r="I1435" s="30">
        <v>12929.87</v>
      </c>
    </row>
    <row r="1436" spans="1:9" s="18" customFormat="1" ht="11.1" hidden="1" customHeight="1" outlineLevel="2" x14ac:dyDescent="0.2">
      <c r="A1436" s="108" t="s">
        <v>1151</v>
      </c>
      <c r="B1436" s="108"/>
      <c r="C1436" s="108"/>
      <c r="D1436" s="108"/>
      <c r="E1436" s="28" t="s">
        <v>547</v>
      </c>
      <c r="F1436" s="29">
        <v>1</v>
      </c>
      <c r="G1436" s="30">
        <v>65218.84</v>
      </c>
      <c r="H1436" s="49"/>
      <c r="I1436" s="30">
        <v>65218.84</v>
      </c>
    </row>
    <row r="1437" spans="1:9" s="18" customFormat="1" ht="21.95" hidden="1" customHeight="1" outlineLevel="2" x14ac:dyDescent="0.2">
      <c r="A1437" s="108" t="s">
        <v>1152</v>
      </c>
      <c r="B1437" s="108"/>
      <c r="C1437" s="108"/>
      <c r="D1437" s="108"/>
      <c r="E1437" s="28" t="s">
        <v>547</v>
      </c>
      <c r="F1437" s="29">
        <v>1</v>
      </c>
      <c r="G1437" s="30">
        <v>4421.21</v>
      </c>
      <c r="H1437" s="49"/>
      <c r="I1437" s="30">
        <v>4421.21</v>
      </c>
    </row>
    <row r="1438" spans="1:9" s="18" customFormat="1" ht="11.1" hidden="1" customHeight="1" outlineLevel="2" collapsed="1" x14ac:dyDescent="0.2">
      <c r="A1438" s="108" t="s">
        <v>1065</v>
      </c>
      <c r="B1438" s="108"/>
      <c r="C1438" s="108"/>
      <c r="D1438" s="108"/>
      <c r="E1438" s="28" t="s">
        <v>547</v>
      </c>
      <c r="F1438" s="29">
        <v>1</v>
      </c>
      <c r="G1438" s="30">
        <v>27612.13</v>
      </c>
      <c r="H1438" s="49"/>
      <c r="I1438" s="30">
        <v>27612.13</v>
      </c>
    </row>
    <row r="1439" spans="1:9" s="18" customFormat="1" ht="11.1" hidden="1" customHeight="1" outlineLevel="1" collapsed="1" x14ac:dyDescent="0.2">
      <c r="A1439" s="107" t="s">
        <v>1153</v>
      </c>
      <c r="B1439" s="107"/>
      <c r="C1439" s="107"/>
      <c r="D1439" s="107"/>
      <c r="E1439" s="107"/>
      <c r="F1439" s="25">
        <v>81</v>
      </c>
      <c r="G1439" s="26">
        <v>264900.06</v>
      </c>
      <c r="H1439" s="48"/>
      <c r="I1439" s="26">
        <v>264900.06</v>
      </c>
    </row>
    <row r="1440" spans="1:9" s="18" customFormat="1" ht="11.1" hidden="1" customHeight="1" outlineLevel="2" x14ac:dyDescent="0.2">
      <c r="A1440" s="108" t="s">
        <v>1154</v>
      </c>
      <c r="B1440" s="108"/>
      <c r="C1440" s="108"/>
      <c r="D1440" s="108"/>
      <c r="E1440" s="28" t="s">
        <v>547</v>
      </c>
      <c r="F1440" s="29">
        <v>3</v>
      </c>
      <c r="G1440" s="30">
        <v>1732.74</v>
      </c>
      <c r="H1440" s="49"/>
      <c r="I1440" s="30">
        <v>1732.74</v>
      </c>
    </row>
    <row r="1441" spans="1:9" s="18" customFormat="1" ht="11.1" hidden="1" customHeight="1" outlineLevel="2" x14ac:dyDescent="0.2">
      <c r="A1441" s="108" t="s">
        <v>1155</v>
      </c>
      <c r="B1441" s="108"/>
      <c r="C1441" s="108"/>
      <c r="D1441" s="108"/>
      <c r="E1441" s="28" t="s">
        <v>547</v>
      </c>
      <c r="F1441" s="29">
        <v>26</v>
      </c>
      <c r="G1441" s="30">
        <v>8719.36</v>
      </c>
      <c r="H1441" s="49"/>
      <c r="I1441" s="30">
        <v>8719.36</v>
      </c>
    </row>
    <row r="1442" spans="1:9" s="18" customFormat="1" ht="11.1" hidden="1" customHeight="1" outlineLevel="2" collapsed="1" x14ac:dyDescent="0.2">
      <c r="A1442" s="108" t="s">
        <v>1156</v>
      </c>
      <c r="B1442" s="108"/>
      <c r="C1442" s="108"/>
      <c r="D1442" s="108"/>
      <c r="E1442" s="28" t="s">
        <v>547</v>
      </c>
      <c r="F1442" s="29">
        <v>52</v>
      </c>
      <c r="G1442" s="30">
        <v>254447.96</v>
      </c>
      <c r="H1442" s="49"/>
      <c r="I1442" s="30">
        <v>254447.96</v>
      </c>
    </row>
    <row r="1443" spans="1:9" s="18" customFormat="1" ht="11.1" hidden="1" customHeight="1" outlineLevel="1" collapsed="1" x14ac:dyDescent="0.2">
      <c r="A1443" s="107" t="s">
        <v>1157</v>
      </c>
      <c r="B1443" s="107"/>
      <c r="C1443" s="107"/>
      <c r="D1443" s="107"/>
      <c r="E1443" s="107"/>
      <c r="F1443" s="25">
        <v>1</v>
      </c>
      <c r="G1443" s="26">
        <v>36767.53</v>
      </c>
      <c r="H1443" s="48"/>
      <c r="I1443" s="26">
        <v>36767.53</v>
      </c>
    </row>
    <row r="1444" spans="1:9" s="18" customFormat="1" ht="11.1" hidden="1" customHeight="1" outlineLevel="2" collapsed="1" x14ac:dyDescent="0.2">
      <c r="A1444" s="108" t="s">
        <v>1158</v>
      </c>
      <c r="B1444" s="108"/>
      <c r="C1444" s="108"/>
      <c r="D1444" s="108"/>
      <c r="E1444" s="28" t="s">
        <v>547</v>
      </c>
      <c r="F1444" s="29">
        <v>1</v>
      </c>
      <c r="G1444" s="30">
        <v>36767.53</v>
      </c>
      <c r="H1444" s="49"/>
      <c r="I1444" s="30">
        <v>36767.53</v>
      </c>
    </row>
    <row r="1445" spans="1:9" s="18" customFormat="1" ht="11.1" hidden="1" customHeight="1" outlineLevel="1" collapsed="1" x14ac:dyDescent="0.2">
      <c r="A1445" s="107" t="s">
        <v>1159</v>
      </c>
      <c r="B1445" s="107"/>
      <c r="C1445" s="107"/>
      <c r="D1445" s="107"/>
      <c r="E1445" s="107"/>
      <c r="F1445" s="25">
        <v>10</v>
      </c>
      <c r="G1445" s="39">
        <v>117482.1</v>
      </c>
      <c r="H1445" s="48"/>
      <c r="I1445" s="39">
        <v>117482.1</v>
      </c>
    </row>
    <row r="1446" spans="1:9" s="18" customFormat="1" ht="11.1" hidden="1" customHeight="1" outlineLevel="2" x14ac:dyDescent="0.2">
      <c r="A1446" s="108" t="s">
        <v>1073</v>
      </c>
      <c r="B1446" s="108"/>
      <c r="C1446" s="108"/>
      <c r="D1446" s="108"/>
      <c r="E1446" s="28" t="s">
        <v>547</v>
      </c>
      <c r="F1446" s="29">
        <v>6</v>
      </c>
      <c r="G1446" s="30">
        <v>69679.740000000005</v>
      </c>
      <c r="H1446" s="49"/>
      <c r="I1446" s="30">
        <v>69679.740000000005</v>
      </c>
    </row>
    <row r="1447" spans="1:9" s="18" customFormat="1" ht="11.1" hidden="1" customHeight="1" outlineLevel="2" collapsed="1" x14ac:dyDescent="0.2">
      <c r="A1447" s="108" t="s">
        <v>1073</v>
      </c>
      <c r="B1447" s="108"/>
      <c r="C1447" s="108"/>
      <c r="D1447" s="108"/>
      <c r="E1447" s="28" t="s">
        <v>547</v>
      </c>
      <c r="F1447" s="29">
        <v>4</v>
      </c>
      <c r="G1447" s="30">
        <v>47802.36</v>
      </c>
      <c r="H1447" s="49"/>
      <c r="I1447" s="30">
        <v>47802.36</v>
      </c>
    </row>
    <row r="1448" spans="1:9" s="18" customFormat="1" ht="11.1" hidden="1" customHeight="1" outlineLevel="1" collapsed="1" x14ac:dyDescent="0.2">
      <c r="A1448" s="107" t="s">
        <v>1160</v>
      </c>
      <c r="B1448" s="107"/>
      <c r="C1448" s="107"/>
      <c r="D1448" s="107"/>
      <c r="E1448" s="107"/>
      <c r="F1448" s="25">
        <v>40</v>
      </c>
      <c r="G1448" s="26">
        <v>32316.22</v>
      </c>
      <c r="H1448" s="48"/>
      <c r="I1448" s="26">
        <v>32316.22</v>
      </c>
    </row>
    <row r="1449" spans="1:9" s="18" customFormat="1" ht="21.95" hidden="1" customHeight="1" outlineLevel="2" x14ac:dyDescent="0.2">
      <c r="A1449" s="108" t="s">
        <v>936</v>
      </c>
      <c r="B1449" s="108"/>
      <c r="C1449" s="108"/>
      <c r="D1449" s="108"/>
      <c r="E1449" s="28" t="s">
        <v>547</v>
      </c>
      <c r="F1449" s="29">
        <v>26</v>
      </c>
      <c r="G1449" s="30">
        <v>21271.9</v>
      </c>
      <c r="H1449" s="49"/>
      <c r="I1449" s="30">
        <v>21271.9</v>
      </c>
    </row>
    <row r="1450" spans="1:9" s="18" customFormat="1" ht="21.95" hidden="1" customHeight="1" outlineLevel="2" collapsed="1" x14ac:dyDescent="0.2">
      <c r="A1450" s="108" t="s">
        <v>936</v>
      </c>
      <c r="B1450" s="108"/>
      <c r="C1450" s="108"/>
      <c r="D1450" s="108"/>
      <c r="E1450" s="28" t="s">
        <v>547</v>
      </c>
      <c r="F1450" s="29">
        <v>14</v>
      </c>
      <c r="G1450" s="30">
        <v>11044.32</v>
      </c>
      <c r="H1450" s="49"/>
      <c r="I1450" s="30">
        <v>11044.32</v>
      </c>
    </row>
    <row r="1451" spans="1:9" s="18" customFormat="1" ht="11.1" hidden="1" customHeight="1" outlineLevel="1" collapsed="1" x14ac:dyDescent="0.2">
      <c r="A1451" s="107" t="s">
        <v>1161</v>
      </c>
      <c r="B1451" s="107"/>
      <c r="C1451" s="107"/>
      <c r="D1451" s="107"/>
      <c r="E1451" s="107"/>
      <c r="F1451" s="25">
        <v>1</v>
      </c>
      <c r="G1451" s="39">
        <v>513817.7</v>
      </c>
      <c r="H1451" s="48"/>
      <c r="I1451" s="39">
        <v>513817.7</v>
      </c>
    </row>
    <row r="1452" spans="1:9" s="18" customFormat="1" ht="11.1" hidden="1" customHeight="1" outlineLevel="2" collapsed="1" x14ac:dyDescent="0.2">
      <c r="A1452" s="108" t="s">
        <v>1162</v>
      </c>
      <c r="B1452" s="108"/>
      <c r="C1452" s="108"/>
      <c r="D1452" s="108"/>
      <c r="E1452" s="28" t="s">
        <v>547</v>
      </c>
      <c r="F1452" s="29">
        <v>1</v>
      </c>
      <c r="G1452" s="30">
        <v>513817.7</v>
      </c>
      <c r="H1452" s="49"/>
      <c r="I1452" s="30">
        <v>513817.7</v>
      </c>
    </row>
    <row r="1453" spans="1:9" s="18" customFormat="1" ht="11.1" hidden="1" customHeight="1" outlineLevel="1" collapsed="1" x14ac:dyDescent="0.2">
      <c r="A1453" s="107" t="s">
        <v>1163</v>
      </c>
      <c r="B1453" s="107"/>
      <c r="C1453" s="107"/>
      <c r="D1453" s="107"/>
      <c r="E1453" s="107"/>
      <c r="F1453" s="25">
        <v>5</v>
      </c>
      <c r="G1453" s="26">
        <v>2379.0500000000002</v>
      </c>
      <c r="H1453" s="48"/>
      <c r="I1453" s="26">
        <v>2379.0500000000002</v>
      </c>
    </row>
    <row r="1454" spans="1:9" s="18" customFormat="1" ht="11.1" hidden="1" customHeight="1" outlineLevel="2" collapsed="1" x14ac:dyDescent="0.2">
      <c r="A1454" s="108" t="s">
        <v>833</v>
      </c>
      <c r="B1454" s="108"/>
      <c r="C1454" s="108"/>
      <c r="D1454" s="108"/>
      <c r="E1454" s="28" t="s">
        <v>547</v>
      </c>
      <c r="F1454" s="29">
        <v>5</v>
      </c>
      <c r="G1454" s="30">
        <v>2379.0500000000002</v>
      </c>
      <c r="H1454" s="49"/>
      <c r="I1454" s="30">
        <v>2379.0500000000002</v>
      </c>
    </row>
    <row r="1455" spans="1:9" s="18" customFormat="1" ht="11.1" hidden="1" customHeight="1" outlineLevel="1" collapsed="1" x14ac:dyDescent="0.2">
      <c r="A1455" s="107" t="s">
        <v>1164</v>
      </c>
      <c r="B1455" s="107"/>
      <c r="C1455" s="107"/>
      <c r="D1455" s="107"/>
      <c r="E1455" s="107"/>
      <c r="F1455" s="25">
        <v>1</v>
      </c>
      <c r="G1455" s="26">
        <v>10024.219999999999</v>
      </c>
      <c r="H1455" s="48"/>
      <c r="I1455" s="26">
        <v>10024.219999999999</v>
      </c>
    </row>
    <row r="1456" spans="1:9" s="18" customFormat="1" ht="11.1" hidden="1" customHeight="1" outlineLevel="2" collapsed="1" x14ac:dyDescent="0.2">
      <c r="A1456" s="108" t="s">
        <v>1018</v>
      </c>
      <c r="B1456" s="108"/>
      <c r="C1456" s="108"/>
      <c r="D1456" s="108"/>
      <c r="E1456" s="28" t="s">
        <v>547</v>
      </c>
      <c r="F1456" s="29">
        <v>1</v>
      </c>
      <c r="G1456" s="30">
        <v>10024.219999999999</v>
      </c>
      <c r="H1456" s="49"/>
      <c r="I1456" s="30">
        <v>10024.219999999999</v>
      </c>
    </row>
    <row r="1457" spans="1:9" s="18" customFormat="1" ht="11.1" hidden="1" customHeight="1" outlineLevel="1" collapsed="1" x14ac:dyDescent="0.2">
      <c r="A1457" s="107" t="s">
        <v>1165</v>
      </c>
      <c r="B1457" s="107"/>
      <c r="C1457" s="107"/>
      <c r="D1457" s="107"/>
      <c r="E1457" s="107"/>
      <c r="F1457" s="25">
        <v>7</v>
      </c>
      <c r="G1457" s="26">
        <v>29101.59</v>
      </c>
      <c r="H1457" s="48"/>
      <c r="I1457" s="26">
        <v>29101.59</v>
      </c>
    </row>
    <row r="1458" spans="1:9" s="18" customFormat="1" ht="11.1" hidden="1" customHeight="1" outlineLevel="2" collapsed="1" x14ac:dyDescent="0.2">
      <c r="A1458" s="108" t="s">
        <v>1166</v>
      </c>
      <c r="B1458" s="108"/>
      <c r="C1458" s="108"/>
      <c r="D1458" s="108"/>
      <c r="E1458" s="28" t="s">
        <v>547</v>
      </c>
      <c r="F1458" s="29">
        <v>7</v>
      </c>
      <c r="G1458" s="30">
        <v>29101.59</v>
      </c>
      <c r="H1458" s="49"/>
      <c r="I1458" s="30">
        <v>29101.59</v>
      </c>
    </row>
    <row r="1459" spans="1:9" s="18" customFormat="1" ht="11.1" hidden="1" customHeight="1" outlineLevel="1" collapsed="1" x14ac:dyDescent="0.2">
      <c r="A1459" s="107" t="s">
        <v>1167</v>
      </c>
      <c r="B1459" s="107"/>
      <c r="C1459" s="107"/>
      <c r="D1459" s="107"/>
      <c r="E1459" s="107"/>
      <c r="F1459" s="25">
        <v>3</v>
      </c>
      <c r="G1459" s="26">
        <v>34061.24</v>
      </c>
      <c r="H1459" s="48"/>
      <c r="I1459" s="26">
        <v>34061.24</v>
      </c>
    </row>
    <row r="1460" spans="1:9" s="18" customFormat="1" ht="11.1" hidden="1" customHeight="1" outlineLevel="2" x14ac:dyDescent="0.2">
      <c r="A1460" s="108" t="s">
        <v>1059</v>
      </c>
      <c r="B1460" s="108"/>
      <c r="C1460" s="108"/>
      <c r="D1460" s="108"/>
      <c r="E1460" s="28" t="s">
        <v>547</v>
      </c>
      <c r="F1460" s="29">
        <v>1</v>
      </c>
      <c r="G1460" s="30">
        <v>11191.33</v>
      </c>
      <c r="H1460" s="49"/>
      <c r="I1460" s="30">
        <v>11191.33</v>
      </c>
    </row>
    <row r="1461" spans="1:9" s="18" customFormat="1" ht="11.1" hidden="1" customHeight="1" outlineLevel="2" x14ac:dyDescent="0.2">
      <c r="A1461" s="108" t="s">
        <v>1002</v>
      </c>
      <c r="B1461" s="108"/>
      <c r="C1461" s="108"/>
      <c r="D1461" s="108"/>
      <c r="E1461" s="28" t="s">
        <v>547</v>
      </c>
      <c r="F1461" s="29">
        <v>1</v>
      </c>
      <c r="G1461" s="30">
        <v>11584.93</v>
      </c>
      <c r="H1461" s="49"/>
      <c r="I1461" s="30">
        <v>11584.93</v>
      </c>
    </row>
    <row r="1462" spans="1:9" s="18" customFormat="1" ht="11.1" hidden="1" customHeight="1" outlineLevel="2" collapsed="1" x14ac:dyDescent="0.2">
      <c r="A1462" s="108" t="s">
        <v>1168</v>
      </c>
      <c r="B1462" s="108"/>
      <c r="C1462" s="108"/>
      <c r="D1462" s="108"/>
      <c r="E1462" s="28" t="s">
        <v>547</v>
      </c>
      <c r="F1462" s="29">
        <v>1</v>
      </c>
      <c r="G1462" s="30">
        <v>11284.98</v>
      </c>
      <c r="H1462" s="49"/>
      <c r="I1462" s="30">
        <v>11284.98</v>
      </c>
    </row>
    <row r="1463" spans="1:9" s="18" customFormat="1" ht="11.1" hidden="1" customHeight="1" outlineLevel="1" collapsed="1" x14ac:dyDescent="0.2">
      <c r="A1463" s="107" t="s">
        <v>1169</v>
      </c>
      <c r="B1463" s="107"/>
      <c r="C1463" s="107"/>
      <c r="D1463" s="107"/>
      <c r="E1463" s="107"/>
      <c r="F1463" s="25">
        <v>30</v>
      </c>
      <c r="G1463" s="39">
        <v>8957.1</v>
      </c>
      <c r="H1463" s="48"/>
      <c r="I1463" s="39">
        <v>8957.1</v>
      </c>
    </row>
    <row r="1464" spans="1:9" s="18" customFormat="1" ht="11.1" hidden="1" customHeight="1" outlineLevel="2" collapsed="1" x14ac:dyDescent="0.2">
      <c r="A1464" s="108" t="s">
        <v>830</v>
      </c>
      <c r="B1464" s="108"/>
      <c r="C1464" s="108"/>
      <c r="D1464" s="108"/>
      <c r="E1464" s="28" t="s">
        <v>547</v>
      </c>
      <c r="F1464" s="29">
        <v>30</v>
      </c>
      <c r="G1464" s="30">
        <v>8957.1</v>
      </c>
      <c r="H1464" s="49"/>
      <c r="I1464" s="30">
        <v>8957.1</v>
      </c>
    </row>
    <row r="1465" spans="1:9" s="18" customFormat="1" ht="11.1" hidden="1" customHeight="1" outlineLevel="1" collapsed="1" x14ac:dyDescent="0.2">
      <c r="A1465" s="107" t="s">
        <v>1170</v>
      </c>
      <c r="B1465" s="107"/>
      <c r="C1465" s="107"/>
      <c r="D1465" s="107"/>
      <c r="E1465" s="107"/>
      <c r="F1465" s="25">
        <v>6.0030000000000001</v>
      </c>
      <c r="G1465" s="26">
        <v>10728.16</v>
      </c>
      <c r="H1465" s="48"/>
      <c r="I1465" s="26">
        <v>10728.16</v>
      </c>
    </row>
    <row r="1466" spans="1:9" s="18" customFormat="1" ht="11.1" hidden="1" customHeight="1" outlineLevel="2" x14ac:dyDescent="0.2">
      <c r="A1466" s="108" t="s">
        <v>1171</v>
      </c>
      <c r="B1466" s="108"/>
      <c r="C1466" s="108"/>
      <c r="D1466" s="108"/>
      <c r="E1466" s="28" t="s">
        <v>547</v>
      </c>
      <c r="F1466" s="29">
        <v>3.0000000000000001E-3</v>
      </c>
      <c r="G1466" s="44">
        <v>121.3</v>
      </c>
      <c r="H1466" s="49"/>
      <c r="I1466" s="44">
        <v>121.3</v>
      </c>
    </row>
    <row r="1467" spans="1:9" s="18" customFormat="1" ht="11.1" hidden="1" customHeight="1" outlineLevel="2" x14ac:dyDescent="0.2">
      <c r="A1467" s="108" t="s">
        <v>820</v>
      </c>
      <c r="B1467" s="108"/>
      <c r="C1467" s="108"/>
      <c r="D1467" s="108"/>
      <c r="E1467" s="28" t="s">
        <v>547</v>
      </c>
      <c r="F1467" s="29">
        <v>3</v>
      </c>
      <c r="G1467" s="30">
        <v>5303.43</v>
      </c>
      <c r="H1467" s="49"/>
      <c r="I1467" s="30">
        <v>5303.43</v>
      </c>
    </row>
    <row r="1468" spans="1:9" s="18" customFormat="1" ht="11.1" hidden="1" customHeight="1" outlineLevel="2" collapsed="1" x14ac:dyDescent="0.2">
      <c r="A1468" s="108" t="s">
        <v>819</v>
      </c>
      <c r="B1468" s="108"/>
      <c r="C1468" s="108"/>
      <c r="D1468" s="108"/>
      <c r="E1468" s="28" t="s">
        <v>547</v>
      </c>
      <c r="F1468" s="29">
        <v>3</v>
      </c>
      <c r="G1468" s="30">
        <v>5303.43</v>
      </c>
      <c r="H1468" s="49"/>
      <c r="I1468" s="30">
        <v>5303.43</v>
      </c>
    </row>
    <row r="1469" spans="1:9" s="18" customFormat="1" ht="11.1" hidden="1" customHeight="1" outlineLevel="1" collapsed="1" x14ac:dyDescent="0.2">
      <c r="A1469" s="107" t="s">
        <v>1172</v>
      </c>
      <c r="B1469" s="107"/>
      <c r="C1469" s="107"/>
      <c r="D1469" s="107"/>
      <c r="E1469" s="107"/>
      <c r="F1469" s="25">
        <v>5</v>
      </c>
      <c r="G1469" s="39">
        <v>5141.2</v>
      </c>
      <c r="H1469" s="48"/>
      <c r="I1469" s="39">
        <v>5141.2</v>
      </c>
    </row>
    <row r="1470" spans="1:9" s="18" customFormat="1" ht="11.1" hidden="1" customHeight="1" outlineLevel="2" collapsed="1" x14ac:dyDescent="0.2">
      <c r="A1470" s="108" t="s">
        <v>1173</v>
      </c>
      <c r="B1470" s="108"/>
      <c r="C1470" s="108"/>
      <c r="D1470" s="108"/>
      <c r="E1470" s="28" t="s">
        <v>547</v>
      </c>
      <c r="F1470" s="29">
        <v>5</v>
      </c>
      <c r="G1470" s="30">
        <v>5141.2</v>
      </c>
      <c r="H1470" s="49"/>
      <c r="I1470" s="30">
        <v>5141.2</v>
      </c>
    </row>
    <row r="1471" spans="1:9" s="18" customFormat="1" ht="11.1" hidden="1" customHeight="1" outlineLevel="1" collapsed="1" x14ac:dyDescent="0.2">
      <c r="A1471" s="107" t="s">
        <v>1174</v>
      </c>
      <c r="B1471" s="107"/>
      <c r="C1471" s="107"/>
      <c r="D1471" s="107"/>
      <c r="E1471" s="107"/>
      <c r="F1471" s="25">
        <v>11.5</v>
      </c>
      <c r="G1471" s="26">
        <v>8680.94</v>
      </c>
      <c r="H1471" s="48"/>
      <c r="I1471" s="26">
        <v>8680.94</v>
      </c>
    </row>
    <row r="1472" spans="1:9" s="18" customFormat="1" ht="11.1" hidden="1" customHeight="1" outlineLevel="2" x14ac:dyDescent="0.2">
      <c r="A1472" s="108" t="s">
        <v>1175</v>
      </c>
      <c r="B1472" s="108"/>
      <c r="C1472" s="108"/>
      <c r="D1472" s="108"/>
      <c r="E1472" s="28" t="s">
        <v>547</v>
      </c>
      <c r="F1472" s="29">
        <v>1</v>
      </c>
      <c r="G1472" s="30">
        <v>3207.04</v>
      </c>
      <c r="H1472" s="49"/>
      <c r="I1472" s="30">
        <v>3207.04</v>
      </c>
    </row>
    <row r="1473" spans="1:9" s="18" customFormat="1" ht="11.1" hidden="1" customHeight="1" outlineLevel="2" x14ac:dyDescent="0.2">
      <c r="A1473" s="108" t="s">
        <v>1176</v>
      </c>
      <c r="B1473" s="108"/>
      <c r="C1473" s="108"/>
      <c r="D1473" s="108"/>
      <c r="E1473" s="28" t="s">
        <v>547</v>
      </c>
      <c r="F1473" s="29">
        <v>4</v>
      </c>
      <c r="G1473" s="44">
        <v>867.84</v>
      </c>
      <c r="H1473" s="49"/>
      <c r="I1473" s="44">
        <v>867.84</v>
      </c>
    </row>
    <row r="1474" spans="1:9" s="18" customFormat="1" ht="11.1" hidden="1" customHeight="1" outlineLevel="2" x14ac:dyDescent="0.2">
      <c r="A1474" s="108" t="s">
        <v>1177</v>
      </c>
      <c r="B1474" s="108"/>
      <c r="C1474" s="108"/>
      <c r="D1474" s="108"/>
      <c r="E1474" s="28" t="s">
        <v>547</v>
      </c>
      <c r="F1474" s="29">
        <v>1</v>
      </c>
      <c r="G1474" s="30">
        <v>2269.4899999999998</v>
      </c>
      <c r="H1474" s="49"/>
      <c r="I1474" s="30">
        <v>2269.4899999999998</v>
      </c>
    </row>
    <row r="1475" spans="1:9" s="18" customFormat="1" ht="11.1" hidden="1" customHeight="1" outlineLevel="2" x14ac:dyDescent="0.2">
      <c r="A1475" s="108" t="s">
        <v>1178</v>
      </c>
      <c r="B1475" s="108"/>
      <c r="C1475" s="108"/>
      <c r="D1475" s="108"/>
      <c r="E1475" s="28" t="s">
        <v>547</v>
      </c>
      <c r="F1475" s="29">
        <v>0.5</v>
      </c>
      <c r="G1475" s="44">
        <v>30.18</v>
      </c>
      <c r="H1475" s="49"/>
      <c r="I1475" s="44">
        <v>30.18</v>
      </c>
    </row>
    <row r="1476" spans="1:9" s="18" customFormat="1" ht="11.1" hidden="1" customHeight="1" outlineLevel="2" x14ac:dyDescent="0.2">
      <c r="A1476" s="108" t="s">
        <v>1179</v>
      </c>
      <c r="B1476" s="108"/>
      <c r="C1476" s="108"/>
      <c r="D1476" s="108"/>
      <c r="E1476" s="28" t="s">
        <v>547</v>
      </c>
      <c r="F1476" s="29">
        <v>1</v>
      </c>
      <c r="G1476" s="30">
        <v>1468.25</v>
      </c>
      <c r="H1476" s="49"/>
      <c r="I1476" s="30">
        <v>1468.25</v>
      </c>
    </row>
    <row r="1477" spans="1:9" s="18" customFormat="1" ht="11.1" hidden="1" customHeight="1" outlineLevel="2" x14ac:dyDescent="0.2">
      <c r="A1477" s="108" t="s">
        <v>1180</v>
      </c>
      <c r="B1477" s="108"/>
      <c r="C1477" s="108"/>
      <c r="D1477" s="108"/>
      <c r="E1477" s="28" t="s">
        <v>547</v>
      </c>
      <c r="F1477" s="29">
        <v>1</v>
      </c>
      <c r="G1477" s="44">
        <v>252.67</v>
      </c>
      <c r="H1477" s="49"/>
      <c r="I1477" s="44">
        <v>252.67</v>
      </c>
    </row>
    <row r="1478" spans="1:9" s="18" customFormat="1" ht="11.1" hidden="1" customHeight="1" outlineLevel="2" x14ac:dyDescent="0.2">
      <c r="A1478" s="108" t="s">
        <v>1181</v>
      </c>
      <c r="B1478" s="108"/>
      <c r="C1478" s="108"/>
      <c r="D1478" s="108"/>
      <c r="E1478" s="28" t="s">
        <v>547</v>
      </c>
      <c r="F1478" s="29">
        <v>1</v>
      </c>
      <c r="G1478" s="44">
        <v>141.13</v>
      </c>
      <c r="H1478" s="49"/>
      <c r="I1478" s="44">
        <v>141.13</v>
      </c>
    </row>
    <row r="1479" spans="1:9" s="18" customFormat="1" ht="11.1" hidden="1" customHeight="1" outlineLevel="2" collapsed="1" x14ac:dyDescent="0.2">
      <c r="A1479" s="108" t="s">
        <v>1182</v>
      </c>
      <c r="B1479" s="108"/>
      <c r="C1479" s="108"/>
      <c r="D1479" s="108"/>
      <c r="E1479" s="28" t="s">
        <v>547</v>
      </c>
      <c r="F1479" s="29">
        <v>2</v>
      </c>
      <c r="G1479" s="44">
        <v>444.34</v>
      </c>
      <c r="H1479" s="49"/>
      <c r="I1479" s="44">
        <v>444.34</v>
      </c>
    </row>
    <row r="1480" spans="1:9" s="18" customFormat="1" ht="11.1" hidden="1" customHeight="1" outlineLevel="1" collapsed="1" x14ac:dyDescent="0.2">
      <c r="A1480" s="107" t="s">
        <v>1183</v>
      </c>
      <c r="B1480" s="107"/>
      <c r="C1480" s="107"/>
      <c r="D1480" s="107"/>
      <c r="E1480" s="107"/>
      <c r="F1480" s="25">
        <v>1</v>
      </c>
      <c r="G1480" s="26">
        <v>42764.23</v>
      </c>
      <c r="H1480" s="48"/>
      <c r="I1480" s="26">
        <v>42764.23</v>
      </c>
    </row>
    <row r="1481" spans="1:9" s="18" customFormat="1" ht="11.1" hidden="1" customHeight="1" outlineLevel="2" collapsed="1" x14ac:dyDescent="0.2">
      <c r="A1481" s="108" t="s">
        <v>1184</v>
      </c>
      <c r="B1481" s="108"/>
      <c r="C1481" s="108"/>
      <c r="D1481" s="108"/>
      <c r="E1481" s="28" t="s">
        <v>547</v>
      </c>
      <c r="F1481" s="29">
        <v>1</v>
      </c>
      <c r="G1481" s="30">
        <v>42764.23</v>
      </c>
      <c r="H1481" s="49"/>
      <c r="I1481" s="30">
        <v>42764.23</v>
      </c>
    </row>
    <row r="1482" spans="1:9" s="18" customFormat="1" ht="11.1" hidden="1" customHeight="1" outlineLevel="1" collapsed="1" x14ac:dyDescent="0.2">
      <c r="A1482" s="107" t="s">
        <v>1185</v>
      </c>
      <c r="B1482" s="107"/>
      <c r="C1482" s="107"/>
      <c r="D1482" s="107"/>
      <c r="E1482" s="107"/>
      <c r="F1482" s="25">
        <v>16</v>
      </c>
      <c r="G1482" s="26">
        <v>20421.759999999998</v>
      </c>
      <c r="H1482" s="48"/>
      <c r="I1482" s="26">
        <v>20421.759999999998</v>
      </c>
    </row>
    <row r="1483" spans="1:9" s="18" customFormat="1" ht="11.1" hidden="1" customHeight="1" outlineLevel="2" collapsed="1" x14ac:dyDescent="0.2">
      <c r="A1483" s="108" t="s">
        <v>1186</v>
      </c>
      <c r="B1483" s="108"/>
      <c r="C1483" s="108"/>
      <c r="D1483" s="108"/>
      <c r="E1483" s="28" t="s">
        <v>547</v>
      </c>
      <c r="F1483" s="29">
        <v>16</v>
      </c>
      <c r="G1483" s="30">
        <v>20421.759999999998</v>
      </c>
      <c r="H1483" s="49"/>
      <c r="I1483" s="30">
        <v>20421.759999999998</v>
      </c>
    </row>
    <row r="1484" spans="1:9" s="18" customFormat="1" ht="11.1" hidden="1" customHeight="1" outlineLevel="1" collapsed="1" x14ac:dyDescent="0.2">
      <c r="A1484" s="107" t="s">
        <v>1187</v>
      </c>
      <c r="B1484" s="107"/>
      <c r="C1484" s="107"/>
      <c r="D1484" s="107"/>
      <c r="E1484" s="107"/>
      <c r="F1484" s="25">
        <v>1</v>
      </c>
      <c r="G1484" s="26">
        <v>114132.08</v>
      </c>
      <c r="H1484" s="48"/>
      <c r="I1484" s="26">
        <v>114132.08</v>
      </c>
    </row>
    <row r="1485" spans="1:9" s="18" customFormat="1" ht="21.95" hidden="1" customHeight="1" outlineLevel="2" collapsed="1" x14ac:dyDescent="0.2">
      <c r="A1485" s="108" t="s">
        <v>1188</v>
      </c>
      <c r="B1485" s="108"/>
      <c r="C1485" s="108"/>
      <c r="D1485" s="108"/>
      <c r="E1485" s="28" t="s">
        <v>547</v>
      </c>
      <c r="F1485" s="29">
        <v>1</v>
      </c>
      <c r="G1485" s="30">
        <v>114132.08</v>
      </c>
      <c r="H1485" s="49"/>
      <c r="I1485" s="30">
        <v>114132.08</v>
      </c>
    </row>
    <row r="1486" spans="1:9" s="18" customFormat="1" ht="11.1" hidden="1" customHeight="1" outlineLevel="1" collapsed="1" x14ac:dyDescent="0.2">
      <c r="A1486" s="107" t="s">
        <v>1189</v>
      </c>
      <c r="B1486" s="107"/>
      <c r="C1486" s="107"/>
      <c r="D1486" s="107"/>
      <c r="E1486" s="107"/>
      <c r="F1486" s="25">
        <v>3</v>
      </c>
      <c r="G1486" s="26">
        <v>1747.31</v>
      </c>
      <c r="H1486" s="48"/>
      <c r="I1486" s="26">
        <v>1747.31</v>
      </c>
    </row>
    <row r="1487" spans="1:9" s="18" customFormat="1" ht="11.1" hidden="1" customHeight="1" outlineLevel="2" x14ac:dyDescent="0.2">
      <c r="A1487" s="108" t="s">
        <v>1190</v>
      </c>
      <c r="B1487" s="108"/>
      <c r="C1487" s="108"/>
      <c r="D1487" s="108"/>
      <c r="E1487" s="28" t="s">
        <v>547</v>
      </c>
      <c r="F1487" s="29">
        <v>1</v>
      </c>
      <c r="G1487" s="44">
        <v>585.23</v>
      </c>
      <c r="H1487" s="49"/>
      <c r="I1487" s="44">
        <v>585.23</v>
      </c>
    </row>
    <row r="1488" spans="1:9" s="18" customFormat="1" ht="11.1" hidden="1" customHeight="1" outlineLevel="2" collapsed="1" x14ac:dyDescent="0.2">
      <c r="A1488" s="108" t="s">
        <v>1190</v>
      </c>
      <c r="B1488" s="108"/>
      <c r="C1488" s="108"/>
      <c r="D1488" s="108"/>
      <c r="E1488" s="28" t="s">
        <v>547</v>
      </c>
      <c r="F1488" s="29">
        <v>2</v>
      </c>
      <c r="G1488" s="30">
        <v>1162.08</v>
      </c>
      <c r="H1488" s="49"/>
      <c r="I1488" s="30">
        <v>1162.08</v>
      </c>
    </row>
    <row r="1489" spans="1:9" s="18" customFormat="1" ht="11.1" hidden="1" customHeight="1" outlineLevel="1" collapsed="1" x14ac:dyDescent="0.2">
      <c r="A1489" s="107" t="s">
        <v>1191</v>
      </c>
      <c r="B1489" s="107"/>
      <c r="C1489" s="107"/>
      <c r="D1489" s="107"/>
      <c r="E1489" s="107"/>
      <c r="F1489" s="25">
        <v>11</v>
      </c>
      <c r="G1489" s="26">
        <v>5938.58</v>
      </c>
      <c r="H1489" s="48"/>
      <c r="I1489" s="26">
        <v>5938.58</v>
      </c>
    </row>
    <row r="1490" spans="1:9" s="18" customFormat="1" ht="11.1" hidden="1" customHeight="1" outlineLevel="2" x14ac:dyDescent="0.2">
      <c r="A1490" s="108" t="s">
        <v>1192</v>
      </c>
      <c r="B1490" s="108"/>
      <c r="C1490" s="108"/>
      <c r="D1490" s="108"/>
      <c r="E1490" s="28" t="s">
        <v>547</v>
      </c>
      <c r="F1490" s="29">
        <v>2</v>
      </c>
      <c r="G1490" s="30">
        <v>5416.82</v>
      </c>
      <c r="H1490" s="49"/>
      <c r="I1490" s="30">
        <v>5416.82</v>
      </c>
    </row>
    <row r="1491" spans="1:9" s="18" customFormat="1" ht="11.1" hidden="1" customHeight="1" outlineLevel="2" x14ac:dyDescent="0.2">
      <c r="A1491" s="108" t="s">
        <v>1193</v>
      </c>
      <c r="B1491" s="108"/>
      <c r="C1491" s="108"/>
      <c r="D1491" s="108"/>
      <c r="E1491" s="28" t="s">
        <v>547</v>
      </c>
      <c r="F1491" s="29">
        <v>3</v>
      </c>
      <c r="G1491" s="44">
        <v>50.04</v>
      </c>
      <c r="H1491" s="49"/>
      <c r="I1491" s="44">
        <v>50.04</v>
      </c>
    </row>
    <row r="1492" spans="1:9" s="18" customFormat="1" ht="11.1" hidden="1" customHeight="1" outlineLevel="2" x14ac:dyDescent="0.2">
      <c r="A1492" s="108" t="s">
        <v>1194</v>
      </c>
      <c r="B1492" s="108"/>
      <c r="C1492" s="108"/>
      <c r="D1492" s="108"/>
      <c r="E1492" s="28" t="s">
        <v>547</v>
      </c>
      <c r="F1492" s="29">
        <v>3</v>
      </c>
      <c r="G1492" s="44">
        <v>235.92</v>
      </c>
      <c r="H1492" s="49"/>
      <c r="I1492" s="44">
        <v>235.92</v>
      </c>
    </row>
    <row r="1493" spans="1:9" s="18" customFormat="1" ht="11.1" hidden="1" customHeight="1" outlineLevel="2" collapsed="1" x14ac:dyDescent="0.2">
      <c r="A1493" s="108" t="s">
        <v>994</v>
      </c>
      <c r="B1493" s="108"/>
      <c r="C1493" s="108"/>
      <c r="D1493" s="108"/>
      <c r="E1493" s="28" t="s">
        <v>547</v>
      </c>
      <c r="F1493" s="29">
        <v>3</v>
      </c>
      <c r="G1493" s="44">
        <v>235.8</v>
      </c>
      <c r="H1493" s="49"/>
      <c r="I1493" s="44">
        <v>235.8</v>
      </c>
    </row>
    <row r="1494" spans="1:9" s="18" customFormat="1" ht="11.1" hidden="1" customHeight="1" outlineLevel="1" collapsed="1" x14ac:dyDescent="0.2">
      <c r="A1494" s="107" t="s">
        <v>1195</v>
      </c>
      <c r="B1494" s="107"/>
      <c r="C1494" s="107"/>
      <c r="D1494" s="107"/>
      <c r="E1494" s="107"/>
      <c r="F1494" s="25">
        <v>10</v>
      </c>
      <c r="G1494" s="39">
        <v>4760.6000000000004</v>
      </c>
      <c r="H1494" s="48"/>
      <c r="I1494" s="39">
        <v>4760.6000000000004</v>
      </c>
    </row>
    <row r="1495" spans="1:9" s="18" customFormat="1" ht="11.1" hidden="1" customHeight="1" outlineLevel="2" collapsed="1" x14ac:dyDescent="0.2">
      <c r="A1495" s="108" t="s">
        <v>833</v>
      </c>
      <c r="B1495" s="108"/>
      <c r="C1495" s="108"/>
      <c r="D1495" s="108"/>
      <c r="E1495" s="28" t="s">
        <v>547</v>
      </c>
      <c r="F1495" s="29">
        <v>10</v>
      </c>
      <c r="G1495" s="30">
        <v>4760.6000000000004</v>
      </c>
      <c r="H1495" s="49"/>
      <c r="I1495" s="30">
        <v>4760.6000000000004</v>
      </c>
    </row>
    <row r="1496" spans="1:9" s="18" customFormat="1" ht="11.1" hidden="1" customHeight="1" outlineLevel="1" collapsed="1" x14ac:dyDescent="0.2">
      <c r="A1496" s="107" t="s">
        <v>1196</v>
      </c>
      <c r="B1496" s="107"/>
      <c r="C1496" s="107"/>
      <c r="D1496" s="107"/>
      <c r="E1496" s="107"/>
      <c r="F1496" s="25">
        <v>8</v>
      </c>
      <c r="G1496" s="26">
        <v>83378.34</v>
      </c>
      <c r="H1496" s="48"/>
      <c r="I1496" s="26">
        <v>83378.34</v>
      </c>
    </row>
    <row r="1497" spans="1:9" s="18" customFormat="1" ht="11.1" hidden="1" customHeight="1" outlineLevel="2" x14ac:dyDescent="0.2">
      <c r="A1497" s="108" t="s">
        <v>1197</v>
      </c>
      <c r="B1497" s="108"/>
      <c r="C1497" s="108"/>
      <c r="D1497" s="108"/>
      <c r="E1497" s="28" t="s">
        <v>547</v>
      </c>
      <c r="F1497" s="29">
        <v>6</v>
      </c>
      <c r="G1497" s="30">
        <v>81780.960000000006</v>
      </c>
      <c r="H1497" s="49"/>
      <c r="I1497" s="30">
        <v>81780.960000000006</v>
      </c>
    </row>
    <row r="1498" spans="1:9" s="18" customFormat="1" ht="21.95" hidden="1" customHeight="1" outlineLevel="2" collapsed="1" x14ac:dyDescent="0.2">
      <c r="A1498" s="108" t="s">
        <v>936</v>
      </c>
      <c r="B1498" s="108"/>
      <c r="C1498" s="108"/>
      <c r="D1498" s="108"/>
      <c r="E1498" s="28" t="s">
        <v>547</v>
      </c>
      <c r="F1498" s="29">
        <v>2</v>
      </c>
      <c r="G1498" s="30">
        <v>1597.38</v>
      </c>
      <c r="H1498" s="49"/>
      <c r="I1498" s="30">
        <v>1597.38</v>
      </c>
    </row>
    <row r="1499" spans="1:9" s="18" customFormat="1" ht="11.1" hidden="1" customHeight="1" outlineLevel="1" collapsed="1" x14ac:dyDescent="0.2">
      <c r="A1499" s="107" t="s">
        <v>1198</v>
      </c>
      <c r="B1499" s="107"/>
      <c r="C1499" s="107"/>
      <c r="D1499" s="107"/>
      <c r="E1499" s="107"/>
      <c r="F1499" s="25">
        <v>3</v>
      </c>
      <c r="G1499" s="26">
        <v>34598.04</v>
      </c>
      <c r="H1499" s="48"/>
      <c r="I1499" s="26">
        <v>34598.04</v>
      </c>
    </row>
    <row r="1500" spans="1:9" s="18" customFormat="1" ht="11.1" hidden="1" customHeight="1" outlineLevel="2" collapsed="1" x14ac:dyDescent="0.2">
      <c r="A1500" s="108" t="s">
        <v>1199</v>
      </c>
      <c r="B1500" s="108"/>
      <c r="C1500" s="108"/>
      <c r="D1500" s="108"/>
      <c r="E1500" s="28" t="s">
        <v>547</v>
      </c>
      <c r="F1500" s="29">
        <v>3</v>
      </c>
      <c r="G1500" s="30">
        <v>34598.04</v>
      </c>
      <c r="H1500" s="49"/>
      <c r="I1500" s="30">
        <v>34598.04</v>
      </c>
    </row>
    <row r="1501" spans="1:9" s="18" customFormat="1" ht="11.1" hidden="1" customHeight="1" outlineLevel="1" collapsed="1" x14ac:dyDescent="0.2">
      <c r="A1501" s="107" t="s">
        <v>1200</v>
      </c>
      <c r="B1501" s="107"/>
      <c r="C1501" s="107"/>
      <c r="D1501" s="107"/>
      <c r="E1501" s="107"/>
      <c r="F1501" s="25">
        <v>12</v>
      </c>
      <c r="G1501" s="39">
        <v>94228.5</v>
      </c>
      <c r="H1501" s="48"/>
      <c r="I1501" s="39">
        <v>94228.5</v>
      </c>
    </row>
    <row r="1502" spans="1:9" s="18" customFormat="1" ht="11.1" hidden="1" customHeight="1" outlineLevel="2" x14ac:dyDescent="0.2">
      <c r="A1502" s="108" t="s">
        <v>1042</v>
      </c>
      <c r="B1502" s="108"/>
      <c r="C1502" s="108"/>
      <c r="D1502" s="108"/>
      <c r="E1502" s="28" t="s">
        <v>547</v>
      </c>
      <c r="F1502" s="29">
        <v>2</v>
      </c>
      <c r="G1502" s="30">
        <v>51732.4</v>
      </c>
      <c r="H1502" s="49"/>
      <c r="I1502" s="30">
        <v>51732.4</v>
      </c>
    </row>
    <row r="1503" spans="1:9" s="18" customFormat="1" ht="11.1" hidden="1" customHeight="1" outlineLevel="2" x14ac:dyDescent="0.2">
      <c r="A1503" s="108" t="s">
        <v>1041</v>
      </c>
      <c r="B1503" s="108"/>
      <c r="C1503" s="108"/>
      <c r="D1503" s="108"/>
      <c r="E1503" s="28" t="s">
        <v>547</v>
      </c>
      <c r="F1503" s="29">
        <v>2</v>
      </c>
      <c r="G1503" s="30">
        <v>5031.78</v>
      </c>
      <c r="H1503" s="49"/>
      <c r="I1503" s="30">
        <v>5031.78</v>
      </c>
    </row>
    <row r="1504" spans="1:9" s="18" customFormat="1" ht="11.1" hidden="1" customHeight="1" outlineLevel="2" x14ac:dyDescent="0.2">
      <c r="A1504" s="108" t="s">
        <v>1018</v>
      </c>
      <c r="B1504" s="108"/>
      <c r="C1504" s="108"/>
      <c r="D1504" s="108"/>
      <c r="E1504" s="28" t="s">
        <v>547</v>
      </c>
      <c r="F1504" s="29">
        <v>2</v>
      </c>
      <c r="G1504" s="30">
        <v>20266.580000000002</v>
      </c>
      <c r="H1504" s="49"/>
      <c r="I1504" s="30">
        <v>20266.580000000002</v>
      </c>
    </row>
    <row r="1505" spans="1:9" s="18" customFormat="1" ht="11.1" hidden="1" customHeight="1" outlineLevel="2" x14ac:dyDescent="0.2">
      <c r="A1505" s="108" t="s">
        <v>1201</v>
      </c>
      <c r="B1505" s="108"/>
      <c r="C1505" s="108"/>
      <c r="D1505" s="108"/>
      <c r="E1505" s="28" t="s">
        <v>547</v>
      </c>
      <c r="F1505" s="29">
        <v>2</v>
      </c>
      <c r="G1505" s="30">
        <v>9876.58</v>
      </c>
      <c r="H1505" s="49"/>
      <c r="I1505" s="30">
        <v>9876.58</v>
      </c>
    </row>
    <row r="1506" spans="1:9" s="18" customFormat="1" ht="11.1" hidden="1" customHeight="1" outlineLevel="2" x14ac:dyDescent="0.2">
      <c r="A1506" s="108" t="s">
        <v>841</v>
      </c>
      <c r="B1506" s="108"/>
      <c r="C1506" s="108"/>
      <c r="D1506" s="108"/>
      <c r="E1506" s="28" t="s">
        <v>547</v>
      </c>
      <c r="F1506" s="29">
        <v>2</v>
      </c>
      <c r="G1506" s="30">
        <v>3653.24</v>
      </c>
      <c r="H1506" s="49"/>
      <c r="I1506" s="30">
        <v>3653.24</v>
      </c>
    </row>
    <row r="1507" spans="1:9" s="18" customFormat="1" ht="11.1" hidden="1" customHeight="1" outlineLevel="2" collapsed="1" x14ac:dyDescent="0.2">
      <c r="A1507" s="108" t="s">
        <v>824</v>
      </c>
      <c r="B1507" s="108"/>
      <c r="C1507" s="108"/>
      <c r="D1507" s="108"/>
      <c r="E1507" s="28" t="s">
        <v>547</v>
      </c>
      <c r="F1507" s="29">
        <v>2</v>
      </c>
      <c r="G1507" s="30">
        <v>3667.92</v>
      </c>
      <c r="H1507" s="49"/>
      <c r="I1507" s="30">
        <v>3667.92</v>
      </c>
    </row>
    <row r="1508" spans="1:9" s="18" customFormat="1" ht="11.1" hidden="1" customHeight="1" outlineLevel="1" collapsed="1" x14ac:dyDescent="0.2">
      <c r="A1508" s="107" t="s">
        <v>1202</v>
      </c>
      <c r="B1508" s="107"/>
      <c r="C1508" s="107"/>
      <c r="D1508" s="107"/>
      <c r="E1508" s="107"/>
      <c r="F1508" s="25">
        <v>3</v>
      </c>
      <c r="G1508" s="26">
        <v>27302.58</v>
      </c>
      <c r="H1508" s="48"/>
      <c r="I1508" s="26">
        <v>27302.58</v>
      </c>
    </row>
    <row r="1509" spans="1:9" s="18" customFormat="1" ht="11.1" hidden="1" customHeight="1" outlineLevel="2" x14ac:dyDescent="0.2">
      <c r="A1509" s="108" t="s">
        <v>883</v>
      </c>
      <c r="B1509" s="108"/>
      <c r="C1509" s="108"/>
      <c r="D1509" s="108"/>
      <c r="E1509" s="28" t="s">
        <v>547</v>
      </c>
      <c r="F1509" s="29">
        <v>1</v>
      </c>
      <c r="G1509" s="30">
        <v>21491.84</v>
      </c>
      <c r="H1509" s="49"/>
      <c r="I1509" s="30">
        <v>21491.84</v>
      </c>
    </row>
    <row r="1510" spans="1:9" s="18" customFormat="1" ht="11.1" hidden="1" customHeight="1" outlineLevel="2" x14ac:dyDescent="0.2">
      <c r="A1510" s="108" t="s">
        <v>912</v>
      </c>
      <c r="B1510" s="108"/>
      <c r="C1510" s="108"/>
      <c r="D1510" s="108"/>
      <c r="E1510" s="28" t="s">
        <v>547</v>
      </c>
      <c r="F1510" s="29">
        <v>1</v>
      </c>
      <c r="G1510" s="44">
        <v>990.41</v>
      </c>
      <c r="H1510" s="49"/>
      <c r="I1510" s="44">
        <v>990.41</v>
      </c>
    </row>
    <row r="1511" spans="1:9" s="18" customFormat="1" ht="11.1" hidden="1" customHeight="1" outlineLevel="2" collapsed="1" x14ac:dyDescent="0.2">
      <c r="A1511" s="108" t="s">
        <v>1203</v>
      </c>
      <c r="B1511" s="108"/>
      <c r="C1511" s="108"/>
      <c r="D1511" s="108"/>
      <c r="E1511" s="28" t="s">
        <v>547</v>
      </c>
      <c r="F1511" s="29">
        <v>1</v>
      </c>
      <c r="G1511" s="30">
        <v>4820.33</v>
      </c>
      <c r="H1511" s="49"/>
      <c r="I1511" s="30">
        <v>4820.33</v>
      </c>
    </row>
    <row r="1512" spans="1:9" s="18" customFormat="1" ht="11.1" hidden="1" customHeight="1" outlineLevel="1" collapsed="1" x14ac:dyDescent="0.2">
      <c r="A1512" s="107" t="s">
        <v>1204</v>
      </c>
      <c r="B1512" s="107"/>
      <c r="C1512" s="107"/>
      <c r="D1512" s="107"/>
      <c r="E1512" s="107"/>
      <c r="F1512" s="25">
        <v>25</v>
      </c>
      <c r="G1512" s="34">
        <v>7567</v>
      </c>
      <c r="H1512" s="48"/>
      <c r="I1512" s="34">
        <v>7567</v>
      </c>
    </row>
    <row r="1513" spans="1:9" s="18" customFormat="1" ht="21.95" hidden="1" customHeight="1" outlineLevel="2" collapsed="1" x14ac:dyDescent="0.2">
      <c r="A1513" s="108" t="s">
        <v>1205</v>
      </c>
      <c r="B1513" s="108"/>
      <c r="C1513" s="108"/>
      <c r="D1513" s="108"/>
      <c r="E1513" s="28" t="s">
        <v>547</v>
      </c>
      <c r="F1513" s="29">
        <v>25</v>
      </c>
      <c r="G1513" s="30">
        <v>7567</v>
      </c>
      <c r="H1513" s="49"/>
      <c r="I1513" s="30">
        <v>7567</v>
      </c>
    </row>
    <row r="1514" spans="1:9" s="18" customFormat="1" ht="11.1" hidden="1" customHeight="1" outlineLevel="1" collapsed="1" x14ac:dyDescent="0.2">
      <c r="A1514" s="107" t="s">
        <v>1206</v>
      </c>
      <c r="B1514" s="107"/>
      <c r="C1514" s="107"/>
      <c r="D1514" s="107"/>
      <c r="E1514" s="107"/>
      <c r="F1514" s="25">
        <v>2</v>
      </c>
      <c r="G1514" s="26">
        <v>14204.82</v>
      </c>
      <c r="H1514" s="48"/>
      <c r="I1514" s="26">
        <v>14204.82</v>
      </c>
    </row>
    <row r="1515" spans="1:9" s="18" customFormat="1" ht="11.1" hidden="1" customHeight="1" outlineLevel="2" collapsed="1" x14ac:dyDescent="0.2">
      <c r="A1515" s="108" t="s">
        <v>1207</v>
      </c>
      <c r="B1515" s="108"/>
      <c r="C1515" s="108"/>
      <c r="D1515" s="108"/>
      <c r="E1515" s="28" t="s">
        <v>547</v>
      </c>
      <c r="F1515" s="29">
        <v>2</v>
      </c>
      <c r="G1515" s="30">
        <v>14204.82</v>
      </c>
      <c r="H1515" s="49"/>
      <c r="I1515" s="30">
        <v>14204.82</v>
      </c>
    </row>
    <row r="1516" spans="1:9" s="18" customFormat="1" ht="11.1" hidden="1" customHeight="1" outlineLevel="1" collapsed="1" x14ac:dyDescent="0.2">
      <c r="A1516" s="107" t="s">
        <v>1208</v>
      </c>
      <c r="B1516" s="107"/>
      <c r="C1516" s="107"/>
      <c r="D1516" s="107"/>
      <c r="E1516" s="107"/>
      <c r="F1516" s="25">
        <v>1</v>
      </c>
      <c r="G1516" s="26">
        <v>11660.19</v>
      </c>
      <c r="H1516" s="48"/>
      <c r="I1516" s="26">
        <v>11660.19</v>
      </c>
    </row>
    <row r="1517" spans="1:9" s="18" customFormat="1" ht="11.1" hidden="1" customHeight="1" outlineLevel="2" collapsed="1" x14ac:dyDescent="0.2">
      <c r="A1517" s="108" t="s">
        <v>1002</v>
      </c>
      <c r="B1517" s="108"/>
      <c r="C1517" s="108"/>
      <c r="D1517" s="108"/>
      <c r="E1517" s="28" t="s">
        <v>547</v>
      </c>
      <c r="F1517" s="29">
        <v>1</v>
      </c>
      <c r="G1517" s="30">
        <v>11660.19</v>
      </c>
      <c r="H1517" s="49"/>
      <c r="I1517" s="30">
        <v>11660.19</v>
      </c>
    </row>
    <row r="1518" spans="1:9" s="18" customFormat="1" ht="11.1" hidden="1" customHeight="1" outlineLevel="1" collapsed="1" x14ac:dyDescent="0.2">
      <c r="A1518" s="107" t="s">
        <v>1209</v>
      </c>
      <c r="B1518" s="107"/>
      <c r="C1518" s="107"/>
      <c r="D1518" s="107"/>
      <c r="E1518" s="107"/>
      <c r="F1518" s="25">
        <v>70</v>
      </c>
      <c r="G1518" s="39">
        <v>21035.7</v>
      </c>
      <c r="H1518" s="48"/>
      <c r="I1518" s="39">
        <v>21035.7</v>
      </c>
    </row>
    <row r="1519" spans="1:9" s="18" customFormat="1" ht="11.1" hidden="1" customHeight="1" outlineLevel="2" collapsed="1" x14ac:dyDescent="0.2">
      <c r="A1519" s="108" t="s">
        <v>830</v>
      </c>
      <c r="B1519" s="108"/>
      <c r="C1519" s="108"/>
      <c r="D1519" s="108"/>
      <c r="E1519" s="28" t="s">
        <v>547</v>
      </c>
      <c r="F1519" s="29">
        <v>70</v>
      </c>
      <c r="G1519" s="30">
        <v>21035.7</v>
      </c>
      <c r="H1519" s="49"/>
      <c r="I1519" s="30">
        <v>21035.7</v>
      </c>
    </row>
    <row r="1520" spans="1:9" s="18" customFormat="1" ht="11.1" hidden="1" customHeight="1" outlineLevel="1" collapsed="1" x14ac:dyDescent="0.2">
      <c r="A1520" s="107" t="s">
        <v>1210</v>
      </c>
      <c r="B1520" s="107"/>
      <c r="C1520" s="107"/>
      <c r="D1520" s="107"/>
      <c r="E1520" s="107"/>
      <c r="F1520" s="25">
        <v>6</v>
      </c>
      <c r="G1520" s="26">
        <v>6200.28</v>
      </c>
      <c r="H1520" s="48"/>
      <c r="I1520" s="26">
        <v>6200.28</v>
      </c>
    </row>
    <row r="1521" spans="1:9" s="18" customFormat="1" ht="11.1" hidden="1" customHeight="1" outlineLevel="2" x14ac:dyDescent="0.2">
      <c r="A1521" s="108" t="s">
        <v>1211</v>
      </c>
      <c r="B1521" s="108"/>
      <c r="C1521" s="108"/>
      <c r="D1521" s="108"/>
      <c r="E1521" s="28" t="s">
        <v>547</v>
      </c>
      <c r="F1521" s="29">
        <v>1</v>
      </c>
      <c r="G1521" s="44">
        <v>762.45</v>
      </c>
      <c r="H1521" s="49"/>
      <c r="I1521" s="44">
        <v>762.45</v>
      </c>
    </row>
    <row r="1522" spans="1:9" s="18" customFormat="1" ht="11.1" hidden="1" customHeight="1" outlineLevel="2" x14ac:dyDescent="0.2">
      <c r="A1522" s="108" t="s">
        <v>1212</v>
      </c>
      <c r="B1522" s="108"/>
      <c r="C1522" s="108"/>
      <c r="D1522" s="108"/>
      <c r="E1522" s="28" t="s">
        <v>547</v>
      </c>
      <c r="F1522" s="29">
        <v>2</v>
      </c>
      <c r="G1522" s="30">
        <v>2643.44</v>
      </c>
      <c r="H1522" s="49"/>
      <c r="I1522" s="30">
        <v>2643.44</v>
      </c>
    </row>
    <row r="1523" spans="1:9" s="18" customFormat="1" ht="11.1" hidden="1" customHeight="1" outlineLevel="2" x14ac:dyDescent="0.2">
      <c r="A1523" s="108" t="s">
        <v>1213</v>
      </c>
      <c r="B1523" s="108"/>
      <c r="C1523" s="108"/>
      <c r="D1523" s="108"/>
      <c r="E1523" s="28" t="s">
        <v>547</v>
      </c>
      <c r="F1523" s="29">
        <v>2</v>
      </c>
      <c r="G1523" s="30">
        <v>1166.02</v>
      </c>
      <c r="H1523" s="49"/>
      <c r="I1523" s="30">
        <v>1166.02</v>
      </c>
    </row>
    <row r="1524" spans="1:9" s="18" customFormat="1" ht="11.1" hidden="1" customHeight="1" outlineLevel="2" collapsed="1" x14ac:dyDescent="0.2">
      <c r="A1524" s="108" t="s">
        <v>1214</v>
      </c>
      <c r="B1524" s="108"/>
      <c r="C1524" s="108"/>
      <c r="D1524" s="108"/>
      <c r="E1524" s="28" t="s">
        <v>547</v>
      </c>
      <c r="F1524" s="29">
        <v>1</v>
      </c>
      <c r="G1524" s="30">
        <v>1628.37</v>
      </c>
      <c r="H1524" s="49"/>
      <c r="I1524" s="30">
        <v>1628.37</v>
      </c>
    </row>
    <row r="1525" spans="1:9" s="18" customFormat="1" ht="11.1" hidden="1" customHeight="1" outlineLevel="1" collapsed="1" x14ac:dyDescent="0.2">
      <c r="A1525" s="107" t="s">
        <v>1215</v>
      </c>
      <c r="B1525" s="107"/>
      <c r="C1525" s="107"/>
      <c r="D1525" s="107"/>
      <c r="E1525" s="107"/>
      <c r="F1525" s="25">
        <v>2</v>
      </c>
      <c r="G1525" s="39">
        <v>95200.2</v>
      </c>
      <c r="H1525" s="48"/>
      <c r="I1525" s="39">
        <v>95200.2</v>
      </c>
    </row>
    <row r="1526" spans="1:9" s="18" customFormat="1" ht="21.95" hidden="1" customHeight="1" outlineLevel="2" collapsed="1" x14ac:dyDescent="0.2">
      <c r="A1526" s="108" t="s">
        <v>1216</v>
      </c>
      <c r="B1526" s="108"/>
      <c r="C1526" s="108"/>
      <c r="D1526" s="108"/>
      <c r="E1526" s="28" t="s">
        <v>547</v>
      </c>
      <c r="F1526" s="29">
        <v>2</v>
      </c>
      <c r="G1526" s="30">
        <v>95200.2</v>
      </c>
      <c r="H1526" s="49"/>
      <c r="I1526" s="30">
        <v>95200.2</v>
      </c>
    </row>
    <row r="1527" spans="1:9" s="18" customFormat="1" ht="11.1" hidden="1" customHeight="1" outlineLevel="1" collapsed="1" x14ac:dyDescent="0.2">
      <c r="A1527" s="107" t="s">
        <v>1217</v>
      </c>
      <c r="B1527" s="107"/>
      <c r="C1527" s="107"/>
      <c r="D1527" s="107"/>
      <c r="E1527" s="107"/>
      <c r="F1527" s="25">
        <v>30</v>
      </c>
      <c r="G1527" s="39">
        <v>16379.7</v>
      </c>
      <c r="H1527" s="48"/>
      <c r="I1527" s="39">
        <v>16379.7</v>
      </c>
    </row>
    <row r="1528" spans="1:9" s="18" customFormat="1" ht="11.1" hidden="1" customHeight="1" outlineLevel="2" collapsed="1" x14ac:dyDescent="0.2">
      <c r="A1528" s="108" t="s">
        <v>1218</v>
      </c>
      <c r="B1528" s="108"/>
      <c r="C1528" s="108"/>
      <c r="D1528" s="108"/>
      <c r="E1528" s="28" t="s">
        <v>547</v>
      </c>
      <c r="F1528" s="29">
        <v>30</v>
      </c>
      <c r="G1528" s="30">
        <v>16379.7</v>
      </c>
      <c r="H1528" s="49"/>
      <c r="I1528" s="30">
        <v>16379.7</v>
      </c>
    </row>
    <row r="1529" spans="1:9" s="18" customFormat="1" ht="11.1" hidden="1" customHeight="1" outlineLevel="1" collapsed="1" x14ac:dyDescent="0.2">
      <c r="A1529" s="107" t="s">
        <v>1219</v>
      </c>
      <c r="B1529" s="107"/>
      <c r="C1529" s="107"/>
      <c r="D1529" s="107"/>
      <c r="E1529" s="107"/>
      <c r="F1529" s="25">
        <v>3</v>
      </c>
      <c r="G1529" s="26">
        <v>14346.78</v>
      </c>
      <c r="H1529" s="48"/>
      <c r="I1529" s="26">
        <v>14346.78</v>
      </c>
    </row>
    <row r="1530" spans="1:9" s="18" customFormat="1" ht="11.1" hidden="1" customHeight="1" outlineLevel="2" collapsed="1" x14ac:dyDescent="0.2">
      <c r="A1530" s="108" t="s">
        <v>1220</v>
      </c>
      <c r="B1530" s="108"/>
      <c r="C1530" s="108"/>
      <c r="D1530" s="108"/>
      <c r="E1530" s="28" t="s">
        <v>547</v>
      </c>
      <c r="F1530" s="29">
        <v>3</v>
      </c>
      <c r="G1530" s="30">
        <v>14346.78</v>
      </c>
      <c r="H1530" s="49"/>
      <c r="I1530" s="30">
        <v>14346.78</v>
      </c>
    </row>
    <row r="1531" spans="1:9" s="18" customFormat="1" ht="11.1" hidden="1" customHeight="1" outlineLevel="1" collapsed="1" x14ac:dyDescent="0.2">
      <c r="A1531" s="107" t="s">
        <v>1221</v>
      </c>
      <c r="B1531" s="107"/>
      <c r="C1531" s="107"/>
      <c r="D1531" s="107"/>
      <c r="E1531" s="107"/>
      <c r="F1531" s="25">
        <v>89</v>
      </c>
      <c r="G1531" s="26">
        <v>117122.58</v>
      </c>
      <c r="H1531" s="48"/>
      <c r="I1531" s="26">
        <v>117122.58</v>
      </c>
    </row>
    <row r="1532" spans="1:9" s="18" customFormat="1" ht="11.1" hidden="1" customHeight="1" outlineLevel="2" x14ac:dyDescent="0.2">
      <c r="A1532" s="108" t="s">
        <v>869</v>
      </c>
      <c r="B1532" s="108"/>
      <c r="C1532" s="108"/>
      <c r="D1532" s="108"/>
      <c r="E1532" s="28" t="s">
        <v>547</v>
      </c>
      <c r="F1532" s="29">
        <v>2</v>
      </c>
      <c r="G1532" s="30">
        <v>1200.52</v>
      </c>
      <c r="H1532" s="49"/>
      <c r="I1532" s="30">
        <v>1200.52</v>
      </c>
    </row>
    <row r="1533" spans="1:9" s="18" customFormat="1" ht="11.1" hidden="1" customHeight="1" outlineLevel="2" x14ac:dyDescent="0.2">
      <c r="A1533" s="108" t="s">
        <v>869</v>
      </c>
      <c r="B1533" s="108"/>
      <c r="C1533" s="108"/>
      <c r="D1533" s="108"/>
      <c r="E1533" s="28" t="s">
        <v>547</v>
      </c>
      <c r="F1533" s="29">
        <v>3</v>
      </c>
      <c r="G1533" s="30">
        <v>1800.57</v>
      </c>
      <c r="H1533" s="49"/>
      <c r="I1533" s="30">
        <v>1800.57</v>
      </c>
    </row>
    <row r="1534" spans="1:9" s="18" customFormat="1" ht="11.1" hidden="1" customHeight="1" outlineLevel="2" x14ac:dyDescent="0.2">
      <c r="A1534" s="108" t="s">
        <v>1055</v>
      </c>
      <c r="B1534" s="108"/>
      <c r="C1534" s="108"/>
      <c r="D1534" s="108"/>
      <c r="E1534" s="28" t="s">
        <v>547</v>
      </c>
      <c r="F1534" s="29">
        <v>6</v>
      </c>
      <c r="G1534" s="30">
        <v>24516.240000000002</v>
      </c>
      <c r="H1534" s="49"/>
      <c r="I1534" s="30">
        <v>24516.240000000002</v>
      </c>
    </row>
    <row r="1535" spans="1:9" s="18" customFormat="1" ht="11.1" hidden="1" customHeight="1" outlineLevel="2" x14ac:dyDescent="0.2">
      <c r="A1535" s="108" t="s">
        <v>1222</v>
      </c>
      <c r="B1535" s="108"/>
      <c r="C1535" s="108"/>
      <c r="D1535" s="108"/>
      <c r="E1535" s="28" t="s">
        <v>547</v>
      </c>
      <c r="F1535" s="29">
        <v>6</v>
      </c>
      <c r="G1535" s="30">
        <v>49249.68</v>
      </c>
      <c r="H1535" s="49"/>
      <c r="I1535" s="30">
        <v>49249.68</v>
      </c>
    </row>
    <row r="1536" spans="1:9" s="18" customFormat="1" ht="11.1" hidden="1" customHeight="1" outlineLevel="2" x14ac:dyDescent="0.2">
      <c r="A1536" s="108" t="s">
        <v>1056</v>
      </c>
      <c r="B1536" s="108"/>
      <c r="C1536" s="108"/>
      <c r="D1536" s="108"/>
      <c r="E1536" s="28" t="s">
        <v>547</v>
      </c>
      <c r="F1536" s="29">
        <v>20</v>
      </c>
      <c r="G1536" s="30">
        <v>5438.4</v>
      </c>
      <c r="H1536" s="49"/>
      <c r="I1536" s="30">
        <v>5438.4</v>
      </c>
    </row>
    <row r="1537" spans="1:9" s="18" customFormat="1" ht="11.1" hidden="1" customHeight="1" outlineLevel="2" x14ac:dyDescent="0.2">
      <c r="A1537" s="108" t="s">
        <v>1223</v>
      </c>
      <c r="B1537" s="108"/>
      <c r="C1537" s="108"/>
      <c r="D1537" s="108"/>
      <c r="E1537" s="28" t="s">
        <v>547</v>
      </c>
      <c r="F1537" s="29">
        <v>5</v>
      </c>
      <c r="G1537" s="30">
        <v>6083.9</v>
      </c>
      <c r="H1537" s="49"/>
      <c r="I1537" s="30">
        <v>6083.9</v>
      </c>
    </row>
    <row r="1538" spans="1:9" s="18" customFormat="1" ht="11.1" hidden="1" customHeight="1" outlineLevel="2" x14ac:dyDescent="0.2">
      <c r="A1538" s="108" t="s">
        <v>1224</v>
      </c>
      <c r="B1538" s="108"/>
      <c r="C1538" s="108"/>
      <c r="D1538" s="108"/>
      <c r="E1538" s="28" t="s">
        <v>547</v>
      </c>
      <c r="F1538" s="29">
        <v>15</v>
      </c>
      <c r="G1538" s="30">
        <v>5636.85</v>
      </c>
      <c r="H1538" s="49"/>
      <c r="I1538" s="30">
        <v>5636.85</v>
      </c>
    </row>
    <row r="1539" spans="1:9" s="18" customFormat="1" ht="11.1" hidden="1" customHeight="1" outlineLevel="2" x14ac:dyDescent="0.2">
      <c r="A1539" s="108" t="s">
        <v>1225</v>
      </c>
      <c r="B1539" s="108"/>
      <c r="C1539" s="108"/>
      <c r="D1539" s="108"/>
      <c r="E1539" s="28" t="s">
        <v>547</v>
      </c>
      <c r="F1539" s="29">
        <v>6</v>
      </c>
      <c r="G1539" s="30">
        <v>17145.900000000001</v>
      </c>
      <c r="H1539" s="49"/>
      <c r="I1539" s="30">
        <v>17145.900000000001</v>
      </c>
    </row>
    <row r="1540" spans="1:9" s="18" customFormat="1" ht="11.1" hidden="1" customHeight="1" outlineLevel="2" x14ac:dyDescent="0.2">
      <c r="A1540" s="108" t="s">
        <v>833</v>
      </c>
      <c r="B1540" s="108"/>
      <c r="C1540" s="108"/>
      <c r="D1540" s="108"/>
      <c r="E1540" s="28" t="s">
        <v>547</v>
      </c>
      <c r="F1540" s="29">
        <v>6</v>
      </c>
      <c r="G1540" s="30">
        <v>2905.92</v>
      </c>
      <c r="H1540" s="49"/>
      <c r="I1540" s="30">
        <v>2905.92</v>
      </c>
    </row>
    <row r="1541" spans="1:9" s="18" customFormat="1" ht="11.1" hidden="1" customHeight="1" outlineLevel="2" collapsed="1" x14ac:dyDescent="0.2">
      <c r="A1541" s="108" t="s">
        <v>1058</v>
      </c>
      <c r="B1541" s="108"/>
      <c r="C1541" s="108"/>
      <c r="D1541" s="108"/>
      <c r="E1541" s="28" t="s">
        <v>547</v>
      </c>
      <c r="F1541" s="29">
        <v>20</v>
      </c>
      <c r="G1541" s="30">
        <v>3144.6</v>
      </c>
      <c r="H1541" s="49"/>
      <c r="I1541" s="30">
        <v>3144.6</v>
      </c>
    </row>
    <row r="1542" spans="1:9" s="18" customFormat="1" ht="11.1" hidden="1" customHeight="1" outlineLevel="1" collapsed="1" x14ac:dyDescent="0.2">
      <c r="A1542" s="107" t="s">
        <v>1226</v>
      </c>
      <c r="B1542" s="107"/>
      <c r="C1542" s="107"/>
      <c r="D1542" s="107"/>
      <c r="E1542" s="107"/>
      <c r="F1542" s="25">
        <v>210</v>
      </c>
      <c r="G1542" s="39">
        <v>64203.3</v>
      </c>
      <c r="H1542" s="48"/>
      <c r="I1542" s="39">
        <v>64203.3</v>
      </c>
    </row>
    <row r="1543" spans="1:9" s="18" customFormat="1" ht="11.1" hidden="1" customHeight="1" outlineLevel="2" collapsed="1" x14ac:dyDescent="0.2">
      <c r="A1543" s="108" t="s">
        <v>830</v>
      </c>
      <c r="B1543" s="108"/>
      <c r="C1543" s="108"/>
      <c r="D1543" s="108"/>
      <c r="E1543" s="28" t="s">
        <v>547</v>
      </c>
      <c r="F1543" s="29">
        <v>210</v>
      </c>
      <c r="G1543" s="30">
        <v>64203.3</v>
      </c>
      <c r="H1543" s="49"/>
      <c r="I1543" s="30">
        <v>64203.3</v>
      </c>
    </row>
    <row r="1544" spans="1:9" s="18" customFormat="1" ht="11.1" hidden="1" customHeight="1" outlineLevel="1" collapsed="1" x14ac:dyDescent="0.2">
      <c r="A1544" s="107" t="s">
        <v>1227</v>
      </c>
      <c r="B1544" s="107"/>
      <c r="C1544" s="107"/>
      <c r="D1544" s="107"/>
      <c r="E1544" s="107"/>
      <c r="F1544" s="25">
        <v>13</v>
      </c>
      <c r="G1544" s="26">
        <v>10128.870000000001</v>
      </c>
      <c r="H1544" s="48"/>
      <c r="I1544" s="26">
        <v>10128.870000000001</v>
      </c>
    </row>
    <row r="1545" spans="1:9" s="18" customFormat="1" ht="21.95" hidden="1" customHeight="1" outlineLevel="2" x14ac:dyDescent="0.2">
      <c r="A1545" s="108" t="s">
        <v>874</v>
      </c>
      <c r="B1545" s="108"/>
      <c r="C1545" s="108"/>
      <c r="D1545" s="108"/>
      <c r="E1545" s="28" t="s">
        <v>547</v>
      </c>
      <c r="F1545" s="29">
        <v>10</v>
      </c>
      <c r="G1545" s="30">
        <v>5570.3</v>
      </c>
      <c r="H1545" s="49"/>
      <c r="I1545" s="30">
        <v>5570.3</v>
      </c>
    </row>
    <row r="1546" spans="1:9" s="18" customFormat="1" ht="11.1" hidden="1" customHeight="1" outlineLevel="2" x14ac:dyDescent="0.2">
      <c r="A1546" s="108" t="s">
        <v>1228</v>
      </c>
      <c r="B1546" s="108"/>
      <c r="C1546" s="108"/>
      <c r="D1546" s="108"/>
      <c r="E1546" s="28" t="s">
        <v>547</v>
      </c>
      <c r="F1546" s="29">
        <v>1</v>
      </c>
      <c r="G1546" s="30">
        <v>2000.65</v>
      </c>
      <c r="H1546" s="49"/>
      <c r="I1546" s="30">
        <v>2000.65</v>
      </c>
    </row>
    <row r="1547" spans="1:9" s="18" customFormat="1" ht="11.1" hidden="1" customHeight="1" outlineLevel="2" x14ac:dyDescent="0.2">
      <c r="A1547" s="108" t="s">
        <v>1229</v>
      </c>
      <c r="B1547" s="108"/>
      <c r="C1547" s="108"/>
      <c r="D1547" s="108"/>
      <c r="E1547" s="28" t="s">
        <v>547</v>
      </c>
      <c r="F1547" s="29">
        <v>1</v>
      </c>
      <c r="G1547" s="30">
        <v>2162.38</v>
      </c>
      <c r="H1547" s="49"/>
      <c r="I1547" s="30">
        <v>2162.38</v>
      </c>
    </row>
    <row r="1548" spans="1:9" s="18" customFormat="1" ht="11.1" hidden="1" customHeight="1" outlineLevel="2" collapsed="1" x14ac:dyDescent="0.2">
      <c r="A1548" s="108" t="s">
        <v>823</v>
      </c>
      <c r="B1548" s="108"/>
      <c r="C1548" s="108"/>
      <c r="D1548" s="108"/>
      <c r="E1548" s="28" t="s">
        <v>547</v>
      </c>
      <c r="F1548" s="29">
        <v>1</v>
      </c>
      <c r="G1548" s="44">
        <v>395.54</v>
      </c>
      <c r="H1548" s="49"/>
      <c r="I1548" s="44">
        <v>395.54</v>
      </c>
    </row>
    <row r="1549" spans="1:9" s="18" customFormat="1" ht="11.1" hidden="1" customHeight="1" outlineLevel="1" collapsed="1" x14ac:dyDescent="0.2">
      <c r="A1549" s="107" t="s">
        <v>1230</v>
      </c>
      <c r="B1549" s="107"/>
      <c r="C1549" s="107"/>
      <c r="D1549" s="107"/>
      <c r="E1549" s="107"/>
      <c r="F1549" s="25">
        <v>26</v>
      </c>
      <c r="G1549" s="26">
        <v>59848.24</v>
      </c>
      <c r="H1549" s="48"/>
      <c r="I1549" s="26">
        <v>59848.24</v>
      </c>
    </row>
    <row r="1550" spans="1:9" s="18" customFormat="1" ht="11.1" hidden="1" customHeight="1" outlineLevel="2" x14ac:dyDescent="0.2">
      <c r="A1550" s="108" t="s">
        <v>1228</v>
      </c>
      <c r="B1550" s="108"/>
      <c r="C1550" s="108"/>
      <c r="D1550" s="108"/>
      <c r="E1550" s="28" t="s">
        <v>547</v>
      </c>
      <c r="F1550" s="29">
        <v>8</v>
      </c>
      <c r="G1550" s="30">
        <v>16005.2</v>
      </c>
      <c r="H1550" s="49"/>
      <c r="I1550" s="30">
        <v>16005.2</v>
      </c>
    </row>
    <row r="1551" spans="1:9" s="18" customFormat="1" ht="11.1" hidden="1" customHeight="1" outlineLevel="2" x14ac:dyDescent="0.2">
      <c r="A1551" s="108" t="s">
        <v>823</v>
      </c>
      <c r="B1551" s="108"/>
      <c r="C1551" s="108"/>
      <c r="D1551" s="108"/>
      <c r="E1551" s="28" t="s">
        <v>547</v>
      </c>
      <c r="F1551" s="29">
        <v>8</v>
      </c>
      <c r="G1551" s="30">
        <v>3164.32</v>
      </c>
      <c r="H1551" s="49"/>
      <c r="I1551" s="30">
        <v>3164.32</v>
      </c>
    </row>
    <row r="1552" spans="1:9" s="18" customFormat="1" ht="11.1" hidden="1" customHeight="1" outlineLevel="2" x14ac:dyDescent="0.2">
      <c r="A1552" s="108" t="s">
        <v>1229</v>
      </c>
      <c r="B1552" s="108"/>
      <c r="C1552" s="108"/>
      <c r="D1552" s="108"/>
      <c r="E1552" s="28" t="s">
        <v>547</v>
      </c>
      <c r="F1552" s="29">
        <v>8</v>
      </c>
      <c r="G1552" s="30">
        <v>17299.04</v>
      </c>
      <c r="H1552" s="49"/>
      <c r="I1552" s="30">
        <v>17299.04</v>
      </c>
    </row>
    <row r="1553" spans="1:9" s="18" customFormat="1" ht="11.1" hidden="1" customHeight="1" outlineLevel="2" collapsed="1" x14ac:dyDescent="0.2">
      <c r="A1553" s="108" t="s">
        <v>1231</v>
      </c>
      <c r="B1553" s="108"/>
      <c r="C1553" s="108"/>
      <c r="D1553" s="108"/>
      <c r="E1553" s="28" t="s">
        <v>547</v>
      </c>
      <c r="F1553" s="29">
        <v>2</v>
      </c>
      <c r="G1553" s="30">
        <v>23379.68</v>
      </c>
      <c r="H1553" s="49"/>
      <c r="I1553" s="30">
        <v>23379.68</v>
      </c>
    </row>
    <row r="1554" spans="1:9" s="18" customFormat="1" ht="11.1" hidden="1" customHeight="1" outlineLevel="1" collapsed="1" x14ac:dyDescent="0.2">
      <c r="A1554" s="107" t="s">
        <v>1232</v>
      </c>
      <c r="B1554" s="107"/>
      <c r="C1554" s="107"/>
      <c r="D1554" s="107"/>
      <c r="E1554" s="107"/>
      <c r="F1554" s="25">
        <v>2</v>
      </c>
      <c r="G1554" s="26">
        <v>77076.210000000006</v>
      </c>
      <c r="H1554" s="48"/>
      <c r="I1554" s="26">
        <v>77076.210000000006</v>
      </c>
    </row>
    <row r="1555" spans="1:9" s="18" customFormat="1" ht="11.1" hidden="1" customHeight="1" outlineLevel="2" x14ac:dyDescent="0.2">
      <c r="A1555" s="108" t="s">
        <v>1233</v>
      </c>
      <c r="B1555" s="108"/>
      <c r="C1555" s="108"/>
      <c r="D1555" s="108"/>
      <c r="E1555" s="28" t="s">
        <v>547</v>
      </c>
      <c r="F1555" s="29">
        <v>1</v>
      </c>
      <c r="G1555" s="30">
        <v>62664.32</v>
      </c>
      <c r="H1555" s="49"/>
      <c r="I1555" s="30">
        <v>62664.32</v>
      </c>
    </row>
    <row r="1556" spans="1:9" s="18" customFormat="1" ht="11.1" hidden="1" customHeight="1" outlineLevel="2" collapsed="1" x14ac:dyDescent="0.2">
      <c r="A1556" s="108" t="s">
        <v>1234</v>
      </c>
      <c r="B1556" s="108"/>
      <c r="C1556" s="108"/>
      <c r="D1556" s="108"/>
      <c r="E1556" s="28" t="s">
        <v>547</v>
      </c>
      <c r="F1556" s="29">
        <v>1</v>
      </c>
      <c r="G1556" s="30">
        <v>14411.89</v>
      </c>
      <c r="H1556" s="49"/>
      <c r="I1556" s="30">
        <v>14411.89</v>
      </c>
    </row>
    <row r="1557" spans="1:9" s="18" customFormat="1" ht="11.1" hidden="1" customHeight="1" outlineLevel="1" collapsed="1" x14ac:dyDescent="0.2">
      <c r="A1557" s="107" t="s">
        <v>1235</v>
      </c>
      <c r="B1557" s="107"/>
      <c r="C1557" s="107"/>
      <c r="D1557" s="107"/>
      <c r="E1557" s="107"/>
      <c r="F1557" s="25">
        <v>3</v>
      </c>
      <c r="G1557" s="26">
        <v>1108.6500000000001</v>
      </c>
      <c r="H1557" s="48"/>
      <c r="I1557" s="26">
        <v>1108.6500000000001</v>
      </c>
    </row>
    <row r="1558" spans="1:9" s="18" customFormat="1" ht="21.95" hidden="1" customHeight="1" outlineLevel="2" collapsed="1" x14ac:dyDescent="0.2">
      <c r="A1558" s="108" t="s">
        <v>822</v>
      </c>
      <c r="B1558" s="108"/>
      <c r="C1558" s="108"/>
      <c r="D1558" s="108"/>
      <c r="E1558" s="28" t="s">
        <v>547</v>
      </c>
      <c r="F1558" s="29">
        <v>3</v>
      </c>
      <c r="G1558" s="30">
        <v>1108.6500000000001</v>
      </c>
      <c r="H1558" s="49"/>
      <c r="I1558" s="30">
        <v>1108.6500000000001</v>
      </c>
    </row>
    <row r="1559" spans="1:9" s="18" customFormat="1" ht="11.1" hidden="1" customHeight="1" outlineLevel="1" collapsed="1" x14ac:dyDescent="0.2">
      <c r="A1559" s="107" t="s">
        <v>1236</v>
      </c>
      <c r="B1559" s="107"/>
      <c r="C1559" s="107"/>
      <c r="D1559" s="107"/>
      <c r="E1559" s="107"/>
      <c r="F1559" s="25">
        <v>1</v>
      </c>
      <c r="G1559" s="26">
        <v>779043.12</v>
      </c>
      <c r="H1559" s="48"/>
      <c r="I1559" s="26">
        <v>779043.12</v>
      </c>
    </row>
    <row r="1560" spans="1:9" s="18" customFormat="1" ht="11.1" hidden="1" customHeight="1" outlineLevel="2" collapsed="1" x14ac:dyDescent="0.2">
      <c r="A1560" s="108" t="s">
        <v>1237</v>
      </c>
      <c r="B1560" s="108"/>
      <c r="C1560" s="108"/>
      <c r="D1560" s="108"/>
      <c r="E1560" s="28" t="s">
        <v>547</v>
      </c>
      <c r="F1560" s="29">
        <v>1</v>
      </c>
      <c r="G1560" s="30">
        <v>779043.12</v>
      </c>
      <c r="H1560" s="49"/>
      <c r="I1560" s="30">
        <v>779043.12</v>
      </c>
    </row>
    <row r="1561" spans="1:9" s="18" customFormat="1" ht="11.1" hidden="1" customHeight="1" outlineLevel="1" collapsed="1" x14ac:dyDescent="0.2">
      <c r="A1561" s="107" t="s">
        <v>1238</v>
      </c>
      <c r="B1561" s="107"/>
      <c r="C1561" s="107"/>
      <c r="D1561" s="107"/>
      <c r="E1561" s="107"/>
      <c r="F1561" s="25">
        <v>15</v>
      </c>
      <c r="G1561" s="26">
        <v>1592.55</v>
      </c>
      <c r="H1561" s="48"/>
      <c r="I1561" s="26">
        <v>1592.55</v>
      </c>
    </row>
    <row r="1562" spans="1:9" s="18" customFormat="1" ht="11.1" hidden="1" customHeight="1" outlineLevel="2" collapsed="1" x14ac:dyDescent="0.2">
      <c r="A1562" s="108" t="s">
        <v>1022</v>
      </c>
      <c r="B1562" s="108"/>
      <c r="C1562" s="108"/>
      <c r="D1562" s="108"/>
      <c r="E1562" s="28" t="s">
        <v>547</v>
      </c>
      <c r="F1562" s="29">
        <v>15</v>
      </c>
      <c r="G1562" s="30">
        <v>1592.55</v>
      </c>
      <c r="H1562" s="49"/>
      <c r="I1562" s="30">
        <v>1592.55</v>
      </c>
    </row>
    <row r="1563" spans="1:9" s="18" customFormat="1" ht="11.1" hidden="1" customHeight="1" outlineLevel="1" collapsed="1" x14ac:dyDescent="0.2">
      <c r="A1563" s="107" t="s">
        <v>1239</v>
      </c>
      <c r="B1563" s="107"/>
      <c r="C1563" s="107"/>
      <c r="D1563" s="107"/>
      <c r="E1563" s="107"/>
      <c r="F1563" s="25">
        <v>1</v>
      </c>
      <c r="G1563" s="26">
        <v>25753.59</v>
      </c>
      <c r="H1563" s="48"/>
      <c r="I1563" s="26">
        <v>25753.59</v>
      </c>
    </row>
    <row r="1564" spans="1:9" s="18" customFormat="1" ht="11.1" hidden="1" customHeight="1" outlineLevel="2" collapsed="1" x14ac:dyDescent="0.2">
      <c r="A1564" s="108" t="s">
        <v>1042</v>
      </c>
      <c r="B1564" s="108"/>
      <c r="C1564" s="108"/>
      <c r="D1564" s="108"/>
      <c r="E1564" s="28" t="s">
        <v>547</v>
      </c>
      <c r="F1564" s="29">
        <v>1</v>
      </c>
      <c r="G1564" s="30">
        <v>25753.59</v>
      </c>
      <c r="H1564" s="49"/>
      <c r="I1564" s="30">
        <v>25753.59</v>
      </c>
    </row>
    <row r="1565" spans="1:9" s="18" customFormat="1" ht="11.1" hidden="1" customHeight="1" outlineLevel="1" collapsed="1" x14ac:dyDescent="0.2">
      <c r="A1565" s="107" t="s">
        <v>1240</v>
      </c>
      <c r="B1565" s="107"/>
      <c r="C1565" s="107"/>
      <c r="D1565" s="107"/>
      <c r="E1565" s="107"/>
      <c r="F1565" s="25">
        <v>4</v>
      </c>
      <c r="G1565" s="26">
        <v>83130.240000000005</v>
      </c>
      <c r="H1565" s="48"/>
      <c r="I1565" s="26">
        <v>83130.240000000005</v>
      </c>
    </row>
    <row r="1566" spans="1:9" s="18" customFormat="1" ht="11.1" hidden="1" customHeight="1" outlineLevel="2" collapsed="1" x14ac:dyDescent="0.2">
      <c r="A1566" s="108" t="s">
        <v>1241</v>
      </c>
      <c r="B1566" s="108"/>
      <c r="C1566" s="108"/>
      <c r="D1566" s="108"/>
      <c r="E1566" s="28" t="s">
        <v>547</v>
      </c>
      <c r="F1566" s="29">
        <v>4</v>
      </c>
      <c r="G1566" s="30">
        <v>83130.240000000005</v>
      </c>
      <c r="H1566" s="49"/>
      <c r="I1566" s="30">
        <v>83130.240000000005</v>
      </c>
    </row>
    <row r="1567" spans="1:9" s="18" customFormat="1" ht="11.1" hidden="1" customHeight="1" outlineLevel="1" collapsed="1" x14ac:dyDescent="0.2">
      <c r="A1567" s="107" t="s">
        <v>1242</v>
      </c>
      <c r="B1567" s="107"/>
      <c r="C1567" s="107"/>
      <c r="D1567" s="107"/>
      <c r="E1567" s="107"/>
      <c r="F1567" s="25">
        <v>26</v>
      </c>
      <c r="G1567" s="26">
        <v>10055.99</v>
      </c>
      <c r="H1567" s="48"/>
      <c r="I1567" s="26">
        <v>10055.99</v>
      </c>
    </row>
    <row r="1568" spans="1:9" s="18" customFormat="1" ht="21.95" hidden="1" customHeight="1" outlineLevel="2" x14ac:dyDescent="0.2">
      <c r="A1568" s="108" t="s">
        <v>822</v>
      </c>
      <c r="B1568" s="108"/>
      <c r="C1568" s="108"/>
      <c r="D1568" s="108"/>
      <c r="E1568" s="28" t="s">
        <v>547</v>
      </c>
      <c r="F1568" s="29">
        <v>10</v>
      </c>
      <c r="G1568" s="30">
        <v>3702.1</v>
      </c>
      <c r="H1568" s="49"/>
      <c r="I1568" s="30">
        <v>3702.1</v>
      </c>
    </row>
    <row r="1569" spans="1:9" s="18" customFormat="1" ht="11.1" hidden="1" customHeight="1" outlineLevel="2" x14ac:dyDescent="0.2">
      <c r="A1569" s="108" t="s">
        <v>823</v>
      </c>
      <c r="B1569" s="108"/>
      <c r="C1569" s="108"/>
      <c r="D1569" s="108"/>
      <c r="E1569" s="28" t="s">
        <v>547</v>
      </c>
      <c r="F1569" s="29">
        <v>9</v>
      </c>
      <c r="G1569" s="30">
        <v>3566.07</v>
      </c>
      <c r="H1569" s="49"/>
      <c r="I1569" s="30">
        <v>3566.07</v>
      </c>
    </row>
    <row r="1570" spans="1:9" s="18" customFormat="1" ht="21.95" hidden="1" customHeight="1" outlineLevel="2" x14ac:dyDescent="0.2">
      <c r="A1570" s="108" t="s">
        <v>821</v>
      </c>
      <c r="B1570" s="108"/>
      <c r="C1570" s="108"/>
      <c r="D1570" s="108"/>
      <c r="E1570" s="28" t="s">
        <v>547</v>
      </c>
      <c r="F1570" s="29">
        <v>2</v>
      </c>
      <c r="G1570" s="44">
        <v>796.22</v>
      </c>
      <c r="H1570" s="49"/>
      <c r="I1570" s="44">
        <v>796.22</v>
      </c>
    </row>
    <row r="1571" spans="1:9" s="18" customFormat="1" ht="21.95" hidden="1" customHeight="1" outlineLevel="2" collapsed="1" x14ac:dyDescent="0.2">
      <c r="A1571" s="108" t="s">
        <v>821</v>
      </c>
      <c r="B1571" s="108"/>
      <c r="C1571" s="108"/>
      <c r="D1571" s="108"/>
      <c r="E1571" s="28" t="s">
        <v>547</v>
      </c>
      <c r="F1571" s="29">
        <v>5</v>
      </c>
      <c r="G1571" s="30">
        <v>1991.6</v>
      </c>
      <c r="H1571" s="49"/>
      <c r="I1571" s="30">
        <v>1991.6</v>
      </c>
    </row>
    <row r="1572" spans="1:9" s="18" customFormat="1" ht="11.1" hidden="1" customHeight="1" outlineLevel="1" collapsed="1" x14ac:dyDescent="0.2">
      <c r="A1572" s="107" t="s">
        <v>1243</v>
      </c>
      <c r="B1572" s="107"/>
      <c r="C1572" s="107"/>
      <c r="D1572" s="107"/>
      <c r="E1572" s="107"/>
      <c r="F1572" s="25">
        <v>1</v>
      </c>
      <c r="G1572" s="26">
        <v>64835.68</v>
      </c>
      <c r="H1572" s="48"/>
      <c r="I1572" s="26">
        <v>64835.68</v>
      </c>
    </row>
    <row r="1573" spans="1:9" s="18" customFormat="1" ht="11.1" hidden="1" customHeight="1" outlineLevel="2" collapsed="1" x14ac:dyDescent="0.2">
      <c r="A1573" s="108" t="s">
        <v>1244</v>
      </c>
      <c r="B1573" s="108"/>
      <c r="C1573" s="108"/>
      <c r="D1573" s="108"/>
      <c r="E1573" s="28" t="s">
        <v>547</v>
      </c>
      <c r="F1573" s="29">
        <v>1</v>
      </c>
      <c r="G1573" s="30">
        <v>64835.68</v>
      </c>
      <c r="H1573" s="49"/>
      <c r="I1573" s="30">
        <v>64835.68</v>
      </c>
    </row>
    <row r="1574" spans="1:9" s="18" customFormat="1" ht="11.1" hidden="1" customHeight="1" outlineLevel="1" collapsed="1" x14ac:dyDescent="0.2">
      <c r="A1574" s="107" t="s">
        <v>1245</v>
      </c>
      <c r="B1574" s="107"/>
      <c r="C1574" s="107"/>
      <c r="D1574" s="107"/>
      <c r="E1574" s="107"/>
      <c r="F1574" s="25">
        <v>6</v>
      </c>
      <c r="G1574" s="26">
        <v>153499.25</v>
      </c>
      <c r="H1574" s="48"/>
      <c r="I1574" s="26">
        <v>153499.25</v>
      </c>
    </row>
    <row r="1575" spans="1:9" s="18" customFormat="1" ht="11.1" hidden="1" customHeight="1" outlineLevel="2" x14ac:dyDescent="0.2">
      <c r="A1575" s="108" t="s">
        <v>824</v>
      </c>
      <c r="B1575" s="108"/>
      <c r="C1575" s="108"/>
      <c r="D1575" s="108"/>
      <c r="E1575" s="28" t="s">
        <v>547</v>
      </c>
      <c r="F1575" s="29">
        <v>1</v>
      </c>
      <c r="G1575" s="30">
        <v>1823.83</v>
      </c>
      <c r="H1575" s="49"/>
      <c r="I1575" s="30">
        <v>1823.83</v>
      </c>
    </row>
    <row r="1576" spans="1:9" s="18" customFormat="1" ht="11.1" hidden="1" customHeight="1" outlineLevel="2" x14ac:dyDescent="0.2">
      <c r="A1576" s="108" t="s">
        <v>824</v>
      </c>
      <c r="B1576" s="108"/>
      <c r="C1576" s="108"/>
      <c r="D1576" s="108"/>
      <c r="E1576" s="28" t="s">
        <v>547</v>
      </c>
      <c r="F1576" s="29">
        <v>1</v>
      </c>
      <c r="G1576" s="30">
        <v>1832.16</v>
      </c>
      <c r="H1576" s="49"/>
      <c r="I1576" s="30">
        <v>1832.16</v>
      </c>
    </row>
    <row r="1577" spans="1:9" s="18" customFormat="1" ht="11.1" hidden="1" customHeight="1" outlineLevel="2" x14ac:dyDescent="0.2">
      <c r="A1577" s="108" t="s">
        <v>1246</v>
      </c>
      <c r="B1577" s="108"/>
      <c r="C1577" s="108"/>
      <c r="D1577" s="108"/>
      <c r="E1577" s="28" t="s">
        <v>547</v>
      </c>
      <c r="F1577" s="29">
        <v>2</v>
      </c>
      <c r="G1577" s="30">
        <v>129672.42</v>
      </c>
      <c r="H1577" s="49"/>
      <c r="I1577" s="30">
        <v>129672.42</v>
      </c>
    </row>
    <row r="1578" spans="1:9" s="18" customFormat="1" ht="11.1" hidden="1" customHeight="1" outlineLevel="2" collapsed="1" x14ac:dyDescent="0.2">
      <c r="A1578" s="108" t="s">
        <v>1018</v>
      </c>
      <c r="B1578" s="108"/>
      <c r="C1578" s="108"/>
      <c r="D1578" s="108"/>
      <c r="E1578" s="28" t="s">
        <v>547</v>
      </c>
      <c r="F1578" s="29">
        <v>2</v>
      </c>
      <c r="G1578" s="30">
        <v>20170.84</v>
      </c>
      <c r="H1578" s="49"/>
      <c r="I1578" s="30">
        <v>20170.84</v>
      </c>
    </row>
    <row r="1579" spans="1:9" s="18" customFormat="1" ht="11.1" hidden="1" customHeight="1" outlineLevel="1" collapsed="1" x14ac:dyDescent="0.2">
      <c r="A1579" s="107" t="s">
        <v>1247</v>
      </c>
      <c r="B1579" s="107"/>
      <c r="C1579" s="107"/>
      <c r="D1579" s="107"/>
      <c r="E1579" s="107"/>
      <c r="F1579" s="25">
        <v>140</v>
      </c>
      <c r="G1579" s="39">
        <v>43026.2</v>
      </c>
      <c r="H1579" s="48"/>
      <c r="I1579" s="39">
        <v>43026.2</v>
      </c>
    </row>
    <row r="1580" spans="1:9" s="18" customFormat="1" ht="11.1" hidden="1" customHeight="1" outlineLevel="2" collapsed="1" x14ac:dyDescent="0.2">
      <c r="A1580" s="108" t="s">
        <v>830</v>
      </c>
      <c r="B1580" s="108"/>
      <c r="C1580" s="108"/>
      <c r="D1580" s="108"/>
      <c r="E1580" s="28" t="s">
        <v>547</v>
      </c>
      <c r="F1580" s="29">
        <v>140</v>
      </c>
      <c r="G1580" s="30">
        <v>43026.2</v>
      </c>
      <c r="H1580" s="49"/>
      <c r="I1580" s="30">
        <v>43026.2</v>
      </c>
    </row>
    <row r="1581" spans="1:9" s="18" customFormat="1" ht="11.1" hidden="1" customHeight="1" outlineLevel="1" collapsed="1" x14ac:dyDescent="0.2">
      <c r="A1581" s="107" t="s">
        <v>1248</v>
      </c>
      <c r="B1581" s="107"/>
      <c r="C1581" s="107"/>
      <c r="D1581" s="107"/>
      <c r="E1581" s="107"/>
      <c r="F1581" s="25">
        <v>10</v>
      </c>
      <c r="G1581" s="39">
        <v>11949.1</v>
      </c>
      <c r="H1581" s="48"/>
      <c r="I1581" s="39">
        <v>11949.1</v>
      </c>
    </row>
    <row r="1582" spans="1:9" s="18" customFormat="1" ht="11.1" hidden="1" customHeight="1" outlineLevel="2" x14ac:dyDescent="0.2">
      <c r="A1582" s="108" t="s">
        <v>824</v>
      </c>
      <c r="B1582" s="108"/>
      <c r="C1582" s="108"/>
      <c r="D1582" s="108"/>
      <c r="E1582" s="28" t="s">
        <v>547</v>
      </c>
      <c r="F1582" s="29">
        <v>5</v>
      </c>
      <c r="G1582" s="30">
        <v>9152.2000000000007</v>
      </c>
      <c r="H1582" s="49"/>
      <c r="I1582" s="30">
        <v>9152.2000000000007</v>
      </c>
    </row>
    <row r="1583" spans="1:9" s="18" customFormat="1" ht="21.95" hidden="1" customHeight="1" outlineLevel="2" collapsed="1" x14ac:dyDescent="0.2">
      <c r="A1583" s="108" t="s">
        <v>874</v>
      </c>
      <c r="B1583" s="108"/>
      <c r="C1583" s="108"/>
      <c r="D1583" s="108"/>
      <c r="E1583" s="28" t="s">
        <v>547</v>
      </c>
      <c r="F1583" s="29">
        <v>5</v>
      </c>
      <c r="G1583" s="30">
        <v>2796.9</v>
      </c>
      <c r="H1583" s="49"/>
      <c r="I1583" s="30">
        <v>2796.9</v>
      </c>
    </row>
    <row r="1584" spans="1:9" s="18" customFormat="1" ht="11.1" hidden="1" customHeight="1" outlineLevel="1" collapsed="1" x14ac:dyDescent="0.2">
      <c r="A1584" s="107" t="s">
        <v>1249</v>
      </c>
      <c r="B1584" s="107"/>
      <c r="C1584" s="107"/>
      <c r="D1584" s="107"/>
      <c r="E1584" s="107"/>
      <c r="F1584" s="25">
        <v>8</v>
      </c>
      <c r="G1584" s="26">
        <v>259743.58</v>
      </c>
      <c r="H1584" s="48"/>
      <c r="I1584" s="26">
        <v>259743.58</v>
      </c>
    </row>
    <row r="1585" spans="1:9" s="18" customFormat="1" ht="11.1" hidden="1" customHeight="1" outlineLevel="2" x14ac:dyDescent="0.2">
      <c r="A1585" s="108" t="s">
        <v>1250</v>
      </c>
      <c r="B1585" s="108"/>
      <c r="C1585" s="108"/>
      <c r="D1585" s="108"/>
      <c r="E1585" s="28" t="s">
        <v>547</v>
      </c>
      <c r="F1585" s="29">
        <v>2</v>
      </c>
      <c r="G1585" s="30">
        <v>176122.56</v>
      </c>
      <c r="H1585" s="49"/>
      <c r="I1585" s="30">
        <v>176122.56</v>
      </c>
    </row>
    <row r="1586" spans="1:9" s="18" customFormat="1" ht="11.1" hidden="1" customHeight="1" outlineLevel="2" x14ac:dyDescent="0.2">
      <c r="A1586" s="108" t="s">
        <v>1042</v>
      </c>
      <c r="B1586" s="108"/>
      <c r="C1586" s="108"/>
      <c r="D1586" s="108"/>
      <c r="E1586" s="28" t="s">
        <v>547</v>
      </c>
      <c r="F1586" s="29">
        <v>2</v>
      </c>
      <c r="G1586" s="30">
        <v>51941.56</v>
      </c>
      <c r="H1586" s="49"/>
      <c r="I1586" s="30">
        <v>51941.56</v>
      </c>
    </row>
    <row r="1587" spans="1:9" s="18" customFormat="1" ht="21.95" hidden="1" customHeight="1" outlineLevel="2" x14ac:dyDescent="0.2">
      <c r="A1587" s="108" t="s">
        <v>1251</v>
      </c>
      <c r="B1587" s="108"/>
      <c r="C1587" s="108"/>
      <c r="D1587" s="108"/>
      <c r="E1587" s="28" t="s">
        <v>547</v>
      </c>
      <c r="F1587" s="29">
        <v>2</v>
      </c>
      <c r="G1587" s="30">
        <v>8322.98</v>
      </c>
      <c r="H1587" s="49"/>
      <c r="I1587" s="30">
        <v>8322.98</v>
      </c>
    </row>
    <row r="1588" spans="1:9" s="18" customFormat="1" ht="11.1" hidden="1" customHeight="1" outlineLevel="2" x14ac:dyDescent="0.2">
      <c r="A1588" s="108" t="s">
        <v>1199</v>
      </c>
      <c r="B1588" s="108"/>
      <c r="C1588" s="108"/>
      <c r="D1588" s="108"/>
      <c r="E1588" s="28" t="s">
        <v>547</v>
      </c>
      <c r="F1588" s="29">
        <v>1</v>
      </c>
      <c r="G1588" s="30">
        <v>11692.26</v>
      </c>
      <c r="H1588" s="49"/>
      <c r="I1588" s="30">
        <v>11692.26</v>
      </c>
    </row>
    <row r="1589" spans="1:9" s="18" customFormat="1" ht="11.1" hidden="1" customHeight="1" outlineLevel="2" collapsed="1" x14ac:dyDescent="0.2">
      <c r="A1589" s="108" t="s">
        <v>1199</v>
      </c>
      <c r="B1589" s="108"/>
      <c r="C1589" s="108"/>
      <c r="D1589" s="108"/>
      <c r="E1589" s="28" t="s">
        <v>547</v>
      </c>
      <c r="F1589" s="29">
        <v>1</v>
      </c>
      <c r="G1589" s="30">
        <v>11664.22</v>
      </c>
      <c r="H1589" s="49"/>
      <c r="I1589" s="30">
        <v>11664.22</v>
      </c>
    </row>
    <row r="1590" spans="1:9" s="18" customFormat="1" ht="11.1" hidden="1" customHeight="1" outlineLevel="1" collapsed="1" x14ac:dyDescent="0.2">
      <c r="A1590" s="107" t="s">
        <v>1252</v>
      </c>
      <c r="B1590" s="107"/>
      <c r="C1590" s="107"/>
      <c r="D1590" s="107"/>
      <c r="E1590" s="107"/>
      <c r="F1590" s="25">
        <v>8</v>
      </c>
      <c r="G1590" s="26">
        <v>7907.46</v>
      </c>
      <c r="H1590" s="48"/>
      <c r="I1590" s="26">
        <v>7907.46</v>
      </c>
    </row>
    <row r="1591" spans="1:9" s="18" customFormat="1" ht="11.1" hidden="1" customHeight="1" outlineLevel="2" x14ac:dyDescent="0.2">
      <c r="A1591" s="108" t="s">
        <v>833</v>
      </c>
      <c r="B1591" s="108"/>
      <c r="C1591" s="108"/>
      <c r="D1591" s="108"/>
      <c r="E1591" s="28" t="s">
        <v>547</v>
      </c>
      <c r="F1591" s="29">
        <v>6</v>
      </c>
      <c r="G1591" s="30">
        <v>2879.28</v>
      </c>
      <c r="H1591" s="49"/>
      <c r="I1591" s="30">
        <v>2879.28</v>
      </c>
    </row>
    <row r="1592" spans="1:9" s="18" customFormat="1" ht="11.1" hidden="1" customHeight="1" outlineLevel="2" collapsed="1" x14ac:dyDescent="0.2">
      <c r="A1592" s="108" t="s">
        <v>913</v>
      </c>
      <c r="B1592" s="108"/>
      <c r="C1592" s="108"/>
      <c r="D1592" s="108"/>
      <c r="E1592" s="28" t="s">
        <v>547</v>
      </c>
      <c r="F1592" s="29">
        <v>2</v>
      </c>
      <c r="G1592" s="30">
        <v>5028.18</v>
      </c>
      <c r="H1592" s="49"/>
      <c r="I1592" s="30">
        <v>5028.18</v>
      </c>
    </row>
    <row r="1593" spans="1:9" s="18" customFormat="1" ht="11.1" hidden="1" customHeight="1" outlineLevel="1" collapsed="1" x14ac:dyDescent="0.2">
      <c r="A1593" s="107" t="s">
        <v>1253</v>
      </c>
      <c r="B1593" s="107"/>
      <c r="C1593" s="107"/>
      <c r="D1593" s="107"/>
      <c r="E1593" s="107"/>
      <c r="F1593" s="25">
        <v>30</v>
      </c>
      <c r="G1593" s="39">
        <v>9076.2000000000007</v>
      </c>
      <c r="H1593" s="48"/>
      <c r="I1593" s="39">
        <v>9076.2000000000007</v>
      </c>
    </row>
    <row r="1594" spans="1:9" s="18" customFormat="1" ht="11.1" hidden="1" customHeight="1" outlineLevel="2" collapsed="1" x14ac:dyDescent="0.2">
      <c r="A1594" s="108" t="s">
        <v>830</v>
      </c>
      <c r="B1594" s="108"/>
      <c r="C1594" s="108"/>
      <c r="D1594" s="108"/>
      <c r="E1594" s="28" t="s">
        <v>547</v>
      </c>
      <c r="F1594" s="29">
        <v>30</v>
      </c>
      <c r="G1594" s="30">
        <v>9076.2000000000007</v>
      </c>
      <c r="H1594" s="49"/>
      <c r="I1594" s="30">
        <v>9076.2000000000007</v>
      </c>
    </row>
    <row r="1595" spans="1:9" s="18" customFormat="1" ht="11.1" hidden="1" customHeight="1" outlineLevel="1" collapsed="1" x14ac:dyDescent="0.2">
      <c r="A1595" s="107" t="s">
        <v>1254</v>
      </c>
      <c r="B1595" s="107"/>
      <c r="C1595" s="107"/>
      <c r="D1595" s="107"/>
      <c r="E1595" s="107"/>
      <c r="F1595" s="25">
        <v>2</v>
      </c>
      <c r="G1595" s="26">
        <v>3853.34</v>
      </c>
      <c r="H1595" s="48"/>
      <c r="I1595" s="26">
        <v>3853.34</v>
      </c>
    </row>
    <row r="1596" spans="1:9" s="18" customFormat="1" ht="21.95" hidden="1" customHeight="1" outlineLevel="2" collapsed="1" x14ac:dyDescent="0.2">
      <c r="A1596" s="108" t="s">
        <v>1148</v>
      </c>
      <c r="B1596" s="108"/>
      <c r="C1596" s="108"/>
      <c r="D1596" s="108"/>
      <c r="E1596" s="28" t="s">
        <v>547</v>
      </c>
      <c r="F1596" s="29">
        <v>2</v>
      </c>
      <c r="G1596" s="30">
        <v>3853.34</v>
      </c>
      <c r="H1596" s="49"/>
      <c r="I1596" s="30">
        <v>3853.34</v>
      </c>
    </row>
    <row r="1597" spans="1:9" s="18" customFormat="1" ht="11.1" hidden="1" customHeight="1" outlineLevel="1" collapsed="1" x14ac:dyDescent="0.2">
      <c r="A1597" s="107" t="s">
        <v>1255</v>
      </c>
      <c r="B1597" s="107"/>
      <c r="C1597" s="107"/>
      <c r="D1597" s="107"/>
      <c r="E1597" s="107"/>
      <c r="F1597" s="25">
        <v>103.01</v>
      </c>
      <c r="G1597" s="26">
        <v>33216.68</v>
      </c>
      <c r="H1597" s="48"/>
      <c r="I1597" s="26">
        <v>33216.68</v>
      </c>
    </row>
    <row r="1598" spans="1:9" s="18" customFormat="1" ht="11.1" hidden="1" customHeight="1" outlineLevel="2" x14ac:dyDescent="0.2">
      <c r="A1598" s="108" t="s">
        <v>1171</v>
      </c>
      <c r="B1598" s="108"/>
      <c r="C1598" s="108"/>
      <c r="D1598" s="108"/>
      <c r="E1598" s="28" t="s">
        <v>547</v>
      </c>
      <c r="F1598" s="29">
        <v>0.01</v>
      </c>
      <c r="G1598" s="44">
        <v>362.55</v>
      </c>
      <c r="H1598" s="49"/>
      <c r="I1598" s="44">
        <v>362.55</v>
      </c>
    </row>
    <row r="1599" spans="1:9" s="18" customFormat="1" ht="11.1" hidden="1" customHeight="1" outlineLevel="2" x14ac:dyDescent="0.2">
      <c r="A1599" s="108" t="s">
        <v>942</v>
      </c>
      <c r="B1599" s="108"/>
      <c r="C1599" s="108"/>
      <c r="D1599" s="108"/>
      <c r="E1599" s="28" t="s">
        <v>547</v>
      </c>
      <c r="F1599" s="29">
        <v>2</v>
      </c>
      <c r="G1599" s="30">
        <v>5667.88</v>
      </c>
      <c r="H1599" s="49"/>
      <c r="I1599" s="30">
        <v>5667.88</v>
      </c>
    </row>
    <row r="1600" spans="1:9" s="18" customFormat="1" ht="11.1" hidden="1" customHeight="1" outlineLevel="2" x14ac:dyDescent="0.2">
      <c r="A1600" s="108" t="s">
        <v>1256</v>
      </c>
      <c r="B1600" s="108"/>
      <c r="C1600" s="108"/>
      <c r="D1600" s="108"/>
      <c r="E1600" s="28" t="s">
        <v>547</v>
      </c>
      <c r="F1600" s="29">
        <v>100</v>
      </c>
      <c r="G1600" s="30">
        <v>7807</v>
      </c>
      <c r="H1600" s="49"/>
      <c r="I1600" s="30">
        <v>7807</v>
      </c>
    </row>
    <row r="1601" spans="1:9" s="18" customFormat="1" ht="11.1" hidden="1" customHeight="1" outlineLevel="2" collapsed="1" x14ac:dyDescent="0.2">
      <c r="A1601" s="108" t="s">
        <v>1257</v>
      </c>
      <c r="B1601" s="108"/>
      <c r="C1601" s="108"/>
      <c r="D1601" s="108"/>
      <c r="E1601" s="28" t="s">
        <v>547</v>
      </c>
      <c r="F1601" s="29">
        <v>1</v>
      </c>
      <c r="G1601" s="30">
        <v>19379.25</v>
      </c>
      <c r="H1601" s="49"/>
      <c r="I1601" s="30">
        <v>19379.25</v>
      </c>
    </row>
    <row r="1602" spans="1:9" s="18" customFormat="1" ht="11.1" hidden="1" customHeight="1" outlineLevel="1" collapsed="1" x14ac:dyDescent="0.2">
      <c r="A1602" s="107" t="s">
        <v>1258</v>
      </c>
      <c r="B1602" s="107"/>
      <c r="C1602" s="107"/>
      <c r="D1602" s="107"/>
      <c r="E1602" s="107"/>
      <c r="F1602" s="25">
        <v>208</v>
      </c>
      <c r="G1602" s="39">
        <v>168746.1</v>
      </c>
      <c r="H1602" s="48"/>
      <c r="I1602" s="39">
        <v>168746.1</v>
      </c>
    </row>
    <row r="1603" spans="1:9" s="18" customFormat="1" ht="11.1" hidden="1" customHeight="1" outlineLevel="2" x14ac:dyDescent="0.2">
      <c r="A1603" s="108" t="s">
        <v>942</v>
      </c>
      <c r="B1603" s="108"/>
      <c r="C1603" s="108"/>
      <c r="D1603" s="108"/>
      <c r="E1603" s="28" t="s">
        <v>547</v>
      </c>
      <c r="F1603" s="29">
        <v>2</v>
      </c>
      <c r="G1603" s="30">
        <v>5466.76</v>
      </c>
      <c r="H1603" s="49"/>
      <c r="I1603" s="30">
        <v>5466.76</v>
      </c>
    </row>
    <row r="1604" spans="1:9" s="18" customFormat="1" ht="11.1" hidden="1" customHeight="1" outlineLevel="2" x14ac:dyDescent="0.2">
      <c r="A1604" s="108" t="s">
        <v>942</v>
      </c>
      <c r="B1604" s="108"/>
      <c r="C1604" s="108"/>
      <c r="D1604" s="108"/>
      <c r="E1604" s="28" t="s">
        <v>547</v>
      </c>
      <c r="F1604" s="29">
        <v>18</v>
      </c>
      <c r="G1604" s="30">
        <v>49203.72</v>
      </c>
      <c r="H1604" s="49"/>
      <c r="I1604" s="30">
        <v>49203.72</v>
      </c>
    </row>
    <row r="1605" spans="1:9" s="18" customFormat="1" ht="11.1" hidden="1" customHeight="1" outlineLevel="2" x14ac:dyDescent="0.2">
      <c r="A1605" s="108" t="s">
        <v>1259</v>
      </c>
      <c r="B1605" s="108"/>
      <c r="C1605" s="108"/>
      <c r="D1605" s="108"/>
      <c r="E1605" s="28" t="s">
        <v>547</v>
      </c>
      <c r="F1605" s="29">
        <v>50</v>
      </c>
      <c r="G1605" s="30">
        <v>7756</v>
      </c>
      <c r="H1605" s="49"/>
      <c r="I1605" s="30">
        <v>7756</v>
      </c>
    </row>
    <row r="1606" spans="1:9" s="18" customFormat="1" ht="11.1" hidden="1" customHeight="1" outlineLevel="2" x14ac:dyDescent="0.2">
      <c r="A1606" s="108" t="s">
        <v>1260</v>
      </c>
      <c r="B1606" s="108"/>
      <c r="C1606" s="108"/>
      <c r="D1606" s="108"/>
      <c r="E1606" s="28" t="s">
        <v>547</v>
      </c>
      <c r="F1606" s="29">
        <v>5</v>
      </c>
      <c r="G1606" s="30">
        <v>2029.15</v>
      </c>
      <c r="H1606" s="49"/>
      <c r="I1606" s="30">
        <v>2029.15</v>
      </c>
    </row>
    <row r="1607" spans="1:9" s="18" customFormat="1" ht="11.1" hidden="1" customHeight="1" outlineLevel="2" x14ac:dyDescent="0.2">
      <c r="A1607" s="108" t="s">
        <v>1156</v>
      </c>
      <c r="B1607" s="108"/>
      <c r="C1607" s="108"/>
      <c r="D1607" s="108"/>
      <c r="E1607" s="28" t="s">
        <v>547</v>
      </c>
      <c r="F1607" s="29">
        <v>10</v>
      </c>
      <c r="G1607" s="30">
        <v>50102.9</v>
      </c>
      <c r="H1607" s="49"/>
      <c r="I1607" s="30">
        <v>50102.9</v>
      </c>
    </row>
    <row r="1608" spans="1:9" s="18" customFormat="1" ht="11.1" hidden="1" customHeight="1" outlineLevel="2" x14ac:dyDescent="0.2">
      <c r="A1608" s="108" t="s">
        <v>1261</v>
      </c>
      <c r="B1608" s="108"/>
      <c r="C1608" s="108"/>
      <c r="D1608" s="108"/>
      <c r="E1608" s="28" t="s">
        <v>547</v>
      </c>
      <c r="F1608" s="29">
        <v>10</v>
      </c>
      <c r="G1608" s="30">
        <v>5609.1</v>
      </c>
      <c r="H1608" s="49"/>
      <c r="I1608" s="30">
        <v>5609.1</v>
      </c>
    </row>
    <row r="1609" spans="1:9" s="18" customFormat="1" ht="11.1" hidden="1" customHeight="1" outlineLevel="2" x14ac:dyDescent="0.2">
      <c r="A1609" s="108" t="s">
        <v>1262</v>
      </c>
      <c r="B1609" s="108"/>
      <c r="C1609" s="108"/>
      <c r="D1609" s="108"/>
      <c r="E1609" s="28" t="s">
        <v>547</v>
      </c>
      <c r="F1609" s="29">
        <v>20</v>
      </c>
      <c r="G1609" s="44">
        <v>225.6</v>
      </c>
      <c r="H1609" s="49"/>
      <c r="I1609" s="44">
        <v>225.6</v>
      </c>
    </row>
    <row r="1610" spans="1:9" s="18" customFormat="1" ht="11.1" hidden="1" customHeight="1" outlineLevel="2" x14ac:dyDescent="0.2">
      <c r="A1610" s="108" t="s">
        <v>1263</v>
      </c>
      <c r="B1610" s="108"/>
      <c r="C1610" s="108"/>
      <c r="D1610" s="108"/>
      <c r="E1610" s="28" t="s">
        <v>547</v>
      </c>
      <c r="F1610" s="29">
        <v>20</v>
      </c>
      <c r="G1610" s="44">
        <v>82.8</v>
      </c>
      <c r="H1610" s="49"/>
      <c r="I1610" s="44">
        <v>82.8</v>
      </c>
    </row>
    <row r="1611" spans="1:9" s="18" customFormat="1" ht="11.1" hidden="1" customHeight="1" outlineLevel="2" x14ac:dyDescent="0.2">
      <c r="A1611" s="108" t="s">
        <v>1168</v>
      </c>
      <c r="B1611" s="108"/>
      <c r="C1611" s="108"/>
      <c r="D1611" s="108"/>
      <c r="E1611" s="28" t="s">
        <v>547</v>
      </c>
      <c r="F1611" s="29">
        <v>2</v>
      </c>
      <c r="G1611" s="30">
        <v>23212.32</v>
      </c>
      <c r="H1611" s="49"/>
      <c r="I1611" s="30">
        <v>23212.32</v>
      </c>
    </row>
    <row r="1612" spans="1:9" s="18" customFormat="1" ht="11.1" hidden="1" customHeight="1" outlineLevel="2" x14ac:dyDescent="0.2">
      <c r="A1612" s="108" t="s">
        <v>830</v>
      </c>
      <c r="B1612" s="108"/>
      <c r="C1612" s="108"/>
      <c r="D1612" s="108"/>
      <c r="E1612" s="28" t="s">
        <v>547</v>
      </c>
      <c r="F1612" s="29">
        <v>70</v>
      </c>
      <c r="G1612" s="30">
        <v>21496.3</v>
      </c>
      <c r="H1612" s="49"/>
      <c r="I1612" s="30">
        <v>21496.3</v>
      </c>
    </row>
    <row r="1613" spans="1:9" s="18" customFormat="1" ht="11.1" hidden="1" customHeight="1" outlineLevel="2" collapsed="1" x14ac:dyDescent="0.2">
      <c r="A1613" s="108" t="s">
        <v>1041</v>
      </c>
      <c r="B1613" s="108"/>
      <c r="C1613" s="108"/>
      <c r="D1613" s="108"/>
      <c r="E1613" s="28" t="s">
        <v>547</v>
      </c>
      <c r="F1613" s="29">
        <v>1</v>
      </c>
      <c r="G1613" s="30">
        <v>3561.45</v>
      </c>
      <c r="H1613" s="49"/>
      <c r="I1613" s="30">
        <v>3561.45</v>
      </c>
    </row>
    <row r="1614" spans="1:9" s="18" customFormat="1" ht="11.1" hidden="1" customHeight="1" outlineLevel="1" collapsed="1" x14ac:dyDescent="0.2">
      <c r="A1614" s="107" t="s">
        <v>1264</v>
      </c>
      <c r="B1614" s="107"/>
      <c r="C1614" s="107"/>
      <c r="D1614" s="107"/>
      <c r="E1614" s="107"/>
      <c r="F1614" s="25">
        <v>5</v>
      </c>
      <c r="G1614" s="39">
        <v>99186.2</v>
      </c>
      <c r="H1614" s="48"/>
      <c r="I1614" s="39">
        <v>99186.2</v>
      </c>
    </row>
    <row r="1615" spans="1:9" s="18" customFormat="1" ht="11.1" hidden="1" customHeight="1" outlineLevel="2" collapsed="1" x14ac:dyDescent="0.2">
      <c r="A1615" s="108" t="s">
        <v>843</v>
      </c>
      <c r="B1615" s="108"/>
      <c r="C1615" s="108"/>
      <c r="D1615" s="108"/>
      <c r="E1615" s="28" t="s">
        <v>547</v>
      </c>
      <c r="F1615" s="29">
        <v>5</v>
      </c>
      <c r="G1615" s="30">
        <v>99186.2</v>
      </c>
      <c r="H1615" s="49"/>
      <c r="I1615" s="30">
        <v>99186.2</v>
      </c>
    </row>
    <row r="1616" spans="1:9" s="18" customFormat="1" ht="11.1" hidden="1" customHeight="1" outlineLevel="1" collapsed="1" x14ac:dyDescent="0.2">
      <c r="A1616" s="107" t="s">
        <v>1265</v>
      </c>
      <c r="B1616" s="107"/>
      <c r="C1616" s="107"/>
      <c r="D1616" s="107"/>
      <c r="E1616" s="107"/>
      <c r="F1616" s="25">
        <v>22</v>
      </c>
      <c r="G1616" s="26">
        <v>69811.98</v>
      </c>
      <c r="H1616" s="48"/>
      <c r="I1616" s="26">
        <v>69811.98</v>
      </c>
    </row>
    <row r="1617" spans="1:9" s="18" customFormat="1" ht="11.1" hidden="1" customHeight="1" outlineLevel="2" x14ac:dyDescent="0.2">
      <c r="A1617" s="108" t="s">
        <v>1266</v>
      </c>
      <c r="B1617" s="108"/>
      <c r="C1617" s="108"/>
      <c r="D1617" s="108"/>
      <c r="E1617" s="28" t="s">
        <v>547</v>
      </c>
      <c r="F1617" s="29">
        <v>4</v>
      </c>
      <c r="G1617" s="30">
        <v>53840.52</v>
      </c>
      <c r="H1617" s="49"/>
      <c r="I1617" s="30">
        <v>53840.52</v>
      </c>
    </row>
    <row r="1618" spans="1:9" s="18" customFormat="1" ht="11.1" hidden="1" customHeight="1" outlineLevel="2" x14ac:dyDescent="0.2">
      <c r="A1618" s="108" t="s">
        <v>834</v>
      </c>
      <c r="B1618" s="108"/>
      <c r="C1618" s="108"/>
      <c r="D1618" s="108"/>
      <c r="E1618" s="28" t="s">
        <v>547</v>
      </c>
      <c r="F1618" s="29">
        <v>4</v>
      </c>
      <c r="G1618" s="44">
        <v>813</v>
      </c>
      <c r="H1618" s="49"/>
      <c r="I1618" s="44">
        <v>813</v>
      </c>
    </row>
    <row r="1619" spans="1:9" s="18" customFormat="1" ht="11.1" hidden="1" customHeight="1" outlineLevel="2" x14ac:dyDescent="0.2">
      <c r="A1619" s="108" t="s">
        <v>824</v>
      </c>
      <c r="B1619" s="108"/>
      <c r="C1619" s="108"/>
      <c r="D1619" s="108"/>
      <c r="E1619" s="28" t="s">
        <v>547</v>
      </c>
      <c r="F1619" s="29">
        <v>4</v>
      </c>
      <c r="G1619" s="30">
        <v>7466.48</v>
      </c>
      <c r="H1619" s="49"/>
      <c r="I1619" s="30">
        <v>7466.48</v>
      </c>
    </row>
    <row r="1620" spans="1:9" s="18" customFormat="1" ht="21.95" hidden="1" customHeight="1" outlineLevel="2" x14ac:dyDescent="0.2">
      <c r="A1620" s="108" t="s">
        <v>822</v>
      </c>
      <c r="B1620" s="108"/>
      <c r="C1620" s="108"/>
      <c r="D1620" s="108"/>
      <c r="E1620" s="28" t="s">
        <v>547</v>
      </c>
      <c r="F1620" s="29">
        <v>7</v>
      </c>
      <c r="G1620" s="30">
        <v>2649.22</v>
      </c>
      <c r="H1620" s="49"/>
      <c r="I1620" s="30">
        <v>2649.22</v>
      </c>
    </row>
    <row r="1621" spans="1:9" s="18" customFormat="1" ht="11.1" hidden="1" customHeight="1" outlineLevel="2" collapsed="1" x14ac:dyDescent="0.2">
      <c r="A1621" s="108" t="s">
        <v>1267</v>
      </c>
      <c r="B1621" s="108"/>
      <c r="C1621" s="108"/>
      <c r="D1621" s="108"/>
      <c r="E1621" s="28" t="s">
        <v>547</v>
      </c>
      <c r="F1621" s="29">
        <v>3</v>
      </c>
      <c r="G1621" s="30">
        <v>5042.76</v>
      </c>
      <c r="H1621" s="49"/>
      <c r="I1621" s="30">
        <v>5042.76</v>
      </c>
    </row>
    <row r="1622" spans="1:9" s="18" customFormat="1" ht="11.1" hidden="1" customHeight="1" outlineLevel="1" collapsed="1" x14ac:dyDescent="0.2">
      <c r="A1622" s="107" t="s">
        <v>1268</v>
      </c>
      <c r="B1622" s="107"/>
      <c r="C1622" s="107"/>
      <c r="D1622" s="107"/>
      <c r="E1622" s="107"/>
      <c r="F1622" s="25">
        <v>3</v>
      </c>
      <c r="G1622" s="26">
        <v>34878.720000000001</v>
      </c>
      <c r="H1622" s="48"/>
      <c r="I1622" s="26">
        <v>34878.720000000001</v>
      </c>
    </row>
    <row r="1623" spans="1:9" s="18" customFormat="1" ht="11.1" hidden="1" customHeight="1" outlineLevel="2" collapsed="1" x14ac:dyDescent="0.2">
      <c r="A1623" s="108" t="s">
        <v>1199</v>
      </c>
      <c r="B1623" s="108"/>
      <c r="C1623" s="108"/>
      <c r="D1623" s="108"/>
      <c r="E1623" s="28" t="s">
        <v>547</v>
      </c>
      <c r="F1623" s="29">
        <v>3</v>
      </c>
      <c r="G1623" s="30">
        <v>34878.720000000001</v>
      </c>
      <c r="H1623" s="49"/>
      <c r="I1623" s="30">
        <v>34878.720000000001</v>
      </c>
    </row>
    <row r="1624" spans="1:9" s="18" customFormat="1" ht="11.1" hidden="1" customHeight="1" outlineLevel="1" collapsed="1" x14ac:dyDescent="0.2">
      <c r="A1624" s="107" t="s">
        <v>1269</v>
      </c>
      <c r="B1624" s="107"/>
      <c r="C1624" s="107"/>
      <c r="D1624" s="107"/>
      <c r="E1624" s="107"/>
      <c r="F1624" s="25">
        <v>5</v>
      </c>
      <c r="G1624" s="26">
        <v>50993.65</v>
      </c>
      <c r="H1624" s="48"/>
      <c r="I1624" s="26">
        <v>50993.65</v>
      </c>
    </row>
    <row r="1625" spans="1:9" s="18" customFormat="1" ht="11.1" hidden="1" customHeight="1" outlineLevel="2" x14ac:dyDescent="0.2">
      <c r="A1625" s="108" t="s">
        <v>1018</v>
      </c>
      <c r="B1625" s="108"/>
      <c r="C1625" s="108"/>
      <c r="D1625" s="108"/>
      <c r="E1625" s="28" t="s">
        <v>547</v>
      </c>
      <c r="F1625" s="29">
        <v>2</v>
      </c>
      <c r="G1625" s="30">
        <v>20397.34</v>
      </c>
      <c r="H1625" s="49"/>
      <c r="I1625" s="30">
        <v>20397.34</v>
      </c>
    </row>
    <row r="1626" spans="1:9" s="18" customFormat="1" ht="11.1" hidden="1" customHeight="1" outlineLevel="2" collapsed="1" x14ac:dyDescent="0.2">
      <c r="A1626" s="108" t="s">
        <v>1018</v>
      </c>
      <c r="B1626" s="108"/>
      <c r="C1626" s="108"/>
      <c r="D1626" s="108"/>
      <c r="E1626" s="28" t="s">
        <v>547</v>
      </c>
      <c r="F1626" s="29">
        <v>3</v>
      </c>
      <c r="G1626" s="30">
        <v>30596.31</v>
      </c>
      <c r="H1626" s="49"/>
      <c r="I1626" s="30">
        <v>30596.31</v>
      </c>
    </row>
    <row r="1627" spans="1:9" s="18" customFormat="1" ht="11.1" hidden="1" customHeight="1" outlineLevel="1" collapsed="1" x14ac:dyDescent="0.2">
      <c r="A1627" s="107" t="s">
        <v>1270</v>
      </c>
      <c r="B1627" s="107"/>
      <c r="C1627" s="107"/>
      <c r="D1627" s="107"/>
      <c r="E1627" s="107"/>
      <c r="F1627" s="25">
        <v>6</v>
      </c>
      <c r="G1627" s="26">
        <v>38631.360000000001</v>
      </c>
      <c r="H1627" s="48"/>
      <c r="I1627" s="26">
        <v>38631.360000000001</v>
      </c>
    </row>
    <row r="1628" spans="1:9" s="18" customFormat="1" ht="11.1" hidden="1" customHeight="1" outlineLevel="2" collapsed="1" x14ac:dyDescent="0.2">
      <c r="A1628" s="108" t="s">
        <v>1271</v>
      </c>
      <c r="B1628" s="108"/>
      <c r="C1628" s="108"/>
      <c r="D1628" s="108"/>
      <c r="E1628" s="28" t="s">
        <v>547</v>
      </c>
      <c r="F1628" s="29">
        <v>6</v>
      </c>
      <c r="G1628" s="30">
        <v>38631.360000000001</v>
      </c>
      <c r="H1628" s="49"/>
      <c r="I1628" s="30">
        <v>38631.360000000001</v>
      </c>
    </row>
    <row r="1629" spans="1:9" s="18" customFormat="1" ht="11.1" hidden="1" customHeight="1" outlineLevel="1" collapsed="1" x14ac:dyDescent="0.2">
      <c r="A1629" s="107" t="s">
        <v>1272</v>
      </c>
      <c r="B1629" s="107"/>
      <c r="C1629" s="107"/>
      <c r="D1629" s="107"/>
      <c r="E1629" s="107"/>
      <c r="F1629" s="25">
        <v>40</v>
      </c>
      <c r="G1629" s="26">
        <v>233098.97</v>
      </c>
      <c r="H1629" s="48"/>
      <c r="I1629" s="26">
        <v>233098.97</v>
      </c>
    </row>
    <row r="1630" spans="1:9" s="18" customFormat="1" ht="11.1" hidden="1" customHeight="1" outlineLevel="2" x14ac:dyDescent="0.2">
      <c r="A1630" s="108" t="s">
        <v>1073</v>
      </c>
      <c r="B1630" s="108"/>
      <c r="C1630" s="108"/>
      <c r="D1630" s="108"/>
      <c r="E1630" s="28" t="s">
        <v>547</v>
      </c>
      <c r="F1630" s="29">
        <v>2</v>
      </c>
      <c r="G1630" s="30">
        <v>23308.32</v>
      </c>
      <c r="H1630" s="49"/>
      <c r="I1630" s="30">
        <v>23308.32</v>
      </c>
    </row>
    <row r="1631" spans="1:9" s="18" customFormat="1" ht="21.95" hidden="1" customHeight="1" outlineLevel="2" x14ac:dyDescent="0.2">
      <c r="A1631" s="108" t="s">
        <v>1251</v>
      </c>
      <c r="B1631" s="108"/>
      <c r="C1631" s="108"/>
      <c r="D1631" s="108"/>
      <c r="E1631" s="28" t="s">
        <v>547</v>
      </c>
      <c r="F1631" s="29">
        <v>11</v>
      </c>
      <c r="G1631" s="30">
        <v>45883.53</v>
      </c>
      <c r="H1631" s="49"/>
      <c r="I1631" s="30">
        <v>45883.53</v>
      </c>
    </row>
    <row r="1632" spans="1:9" s="18" customFormat="1" ht="21.95" hidden="1" customHeight="1" outlineLevel="2" x14ac:dyDescent="0.2">
      <c r="A1632" s="108" t="s">
        <v>1251</v>
      </c>
      <c r="B1632" s="108"/>
      <c r="C1632" s="108"/>
      <c r="D1632" s="108"/>
      <c r="E1632" s="28" t="s">
        <v>547</v>
      </c>
      <c r="F1632" s="29">
        <v>2</v>
      </c>
      <c r="G1632" s="30">
        <v>8308.66</v>
      </c>
      <c r="H1632" s="49"/>
      <c r="I1632" s="30">
        <v>8308.66</v>
      </c>
    </row>
    <row r="1633" spans="1:9" s="18" customFormat="1" ht="11.1" hidden="1" customHeight="1" outlineLevel="2" x14ac:dyDescent="0.2">
      <c r="A1633" s="108" t="s">
        <v>1056</v>
      </c>
      <c r="B1633" s="108"/>
      <c r="C1633" s="108"/>
      <c r="D1633" s="108"/>
      <c r="E1633" s="28" t="s">
        <v>547</v>
      </c>
      <c r="F1633" s="29">
        <v>1</v>
      </c>
      <c r="G1633" s="44">
        <v>272.20999999999998</v>
      </c>
      <c r="H1633" s="49"/>
      <c r="I1633" s="44">
        <v>272.20999999999998</v>
      </c>
    </row>
    <row r="1634" spans="1:9" s="18" customFormat="1" ht="11.1" hidden="1" customHeight="1" outlineLevel="2" x14ac:dyDescent="0.2">
      <c r="A1634" s="108" t="s">
        <v>1056</v>
      </c>
      <c r="B1634" s="108"/>
      <c r="C1634" s="108"/>
      <c r="D1634" s="108"/>
      <c r="E1634" s="28" t="s">
        <v>547</v>
      </c>
      <c r="F1634" s="29">
        <v>9</v>
      </c>
      <c r="G1634" s="30">
        <v>2438.37</v>
      </c>
      <c r="H1634" s="49"/>
      <c r="I1634" s="30">
        <v>2438.37</v>
      </c>
    </row>
    <row r="1635" spans="1:9" s="18" customFormat="1" ht="11.1" hidden="1" customHeight="1" outlineLevel="2" x14ac:dyDescent="0.2">
      <c r="A1635" s="108" t="s">
        <v>1273</v>
      </c>
      <c r="B1635" s="108"/>
      <c r="C1635" s="108"/>
      <c r="D1635" s="108"/>
      <c r="E1635" s="28" t="s">
        <v>547</v>
      </c>
      <c r="F1635" s="29">
        <v>1</v>
      </c>
      <c r="G1635" s="30">
        <v>13408.48</v>
      </c>
      <c r="H1635" s="49"/>
      <c r="I1635" s="30">
        <v>13408.48</v>
      </c>
    </row>
    <row r="1636" spans="1:9" s="18" customFormat="1" ht="11.1" hidden="1" customHeight="1" outlineLevel="2" x14ac:dyDescent="0.2">
      <c r="A1636" s="108" t="s">
        <v>1273</v>
      </c>
      <c r="B1636" s="108"/>
      <c r="C1636" s="108"/>
      <c r="D1636" s="108"/>
      <c r="E1636" s="28" t="s">
        <v>547</v>
      </c>
      <c r="F1636" s="29">
        <v>6</v>
      </c>
      <c r="G1636" s="30">
        <v>79111.8</v>
      </c>
      <c r="H1636" s="49"/>
      <c r="I1636" s="30">
        <v>79111.8</v>
      </c>
    </row>
    <row r="1637" spans="1:9" s="18" customFormat="1" ht="11.1" hidden="1" customHeight="1" outlineLevel="2" x14ac:dyDescent="0.2">
      <c r="A1637" s="108" t="s">
        <v>1273</v>
      </c>
      <c r="B1637" s="108"/>
      <c r="C1637" s="108"/>
      <c r="D1637" s="108"/>
      <c r="E1637" s="28" t="s">
        <v>547</v>
      </c>
      <c r="F1637" s="29">
        <v>3</v>
      </c>
      <c r="G1637" s="30">
        <v>39443.85</v>
      </c>
      <c r="H1637" s="49"/>
      <c r="I1637" s="30">
        <v>39443.85</v>
      </c>
    </row>
    <row r="1638" spans="1:9" s="18" customFormat="1" ht="11.1" hidden="1" customHeight="1" outlineLevel="2" x14ac:dyDescent="0.2">
      <c r="A1638" s="108" t="s">
        <v>834</v>
      </c>
      <c r="B1638" s="108"/>
      <c r="C1638" s="108"/>
      <c r="D1638" s="108"/>
      <c r="E1638" s="28" t="s">
        <v>547</v>
      </c>
      <c r="F1638" s="29">
        <v>3</v>
      </c>
      <c r="G1638" s="44">
        <v>602.97</v>
      </c>
      <c r="H1638" s="49"/>
      <c r="I1638" s="44">
        <v>602.97</v>
      </c>
    </row>
    <row r="1639" spans="1:9" s="18" customFormat="1" ht="11.1" hidden="1" customHeight="1" outlineLevel="2" collapsed="1" x14ac:dyDescent="0.2">
      <c r="A1639" s="108" t="s">
        <v>1018</v>
      </c>
      <c r="B1639" s="108"/>
      <c r="C1639" s="108"/>
      <c r="D1639" s="108"/>
      <c r="E1639" s="28" t="s">
        <v>547</v>
      </c>
      <c r="F1639" s="29">
        <v>2</v>
      </c>
      <c r="G1639" s="30">
        <v>20320.78</v>
      </c>
      <c r="H1639" s="49"/>
      <c r="I1639" s="30">
        <v>20320.78</v>
      </c>
    </row>
    <row r="1640" spans="1:9" s="18" customFormat="1" ht="11.1" hidden="1" customHeight="1" outlineLevel="1" collapsed="1" x14ac:dyDescent="0.2">
      <c r="A1640" s="107" t="s">
        <v>1274</v>
      </c>
      <c r="B1640" s="107"/>
      <c r="C1640" s="107"/>
      <c r="D1640" s="107"/>
      <c r="E1640" s="107"/>
      <c r="F1640" s="25">
        <v>4</v>
      </c>
      <c r="G1640" s="26">
        <v>610905.48</v>
      </c>
      <c r="H1640" s="48"/>
      <c r="I1640" s="26">
        <v>610905.48</v>
      </c>
    </row>
    <row r="1641" spans="1:9" s="18" customFormat="1" ht="21.95" hidden="1" customHeight="1" outlineLevel="2" collapsed="1" x14ac:dyDescent="0.2">
      <c r="A1641" s="108" t="s">
        <v>1275</v>
      </c>
      <c r="B1641" s="108"/>
      <c r="C1641" s="108"/>
      <c r="D1641" s="108"/>
      <c r="E1641" s="28" t="s">
        <v>547</v>
      </c>
      <c r="F1641" s="29">
        <v>4</v>
      </c>
      <c r="G1641" s="30">
        <v>610905.48</v>
      </c>
      <c r="H1641" s="49"/>
      <c r="I1641" s="30">
        <v>610905.48</v>
      </c>
    </row>
    <row r="1642" spans="1:9" s="18" customFormat="1" ht="11.1" hidden="1" customHeight="1" outlineLevel="1" collapsed="1" x14ac:dyDescent="0.2">
      <c r="A1642" s="107" t="s">
        <v>1276</v>
      </c>
      <c r="B1642" s="107"/>
      <c r="C1642" s="107"/>
      <c r="D1642" s="107"/>
      <c r="E1642" s="107"/>
      <c r="F1642" s="25">
        <v>243.9</v>
      </c>
      <c r="G1642" s="26">
        <v>195542.96</v>
      </c>
      <c r="H1642" s="48"/>
      <c r="I1642" s="26">
        <v>195542.96</v>
      </c>
    </row>
    <row r="1643" spans="1:9" s="18" customFormat="1" ht="11.1" hidden="1" customHeight="1" outlineLevel="2" x14ac:dyDescent="0.2">
      <c r="A1643" s="108" t="s">
        <v>1277</v>
      </c>
      <c r="B1643" s="108"/>
      <c r="C1643" s="108"/>
      <c r="D1643" s="108"/>
      <c r="E1643" s="28" t="s">
        <v>547</v>
      </c>
      <c r="F1643" s="29">
        <v>0.44</v>
      </c>
      <c r="G1643" s="30">
        <v>1638.78</v>
      </c>
      <c r="H1643" s="49"/>
      <c r="I1643" s="30">
        <v>1638.78</v>
      </c>
    </row>
    <row r="1644" spans="1:9" s="18" customFormat="1" ht="11.1" hidden="1" customHeight="1" outlineLevel="2" x14ac:dyDescent="0.2">
      <c r="A1644" s="108" t="s">
        <v>1277</v>
      </c>
      <c r="B1644" s="108"/>
      <c r="C1644" s="108"/>
      <c r="D1644" s="108"/>
      <c r="E1644" s="28" t="s">
        <v>547</v>
      </c>
      <c r="F1644" s="29">
        <v>0.16</v>
      </c>
      <c r="G1644" s="44">
        <v>606.61</v>
      </c>
      <c r="H1644" s="49"/>
      <c r="I1644" s="44">
        <v>606.61</v>
      </c>
    </row>
    <row r="1645" spans="1:9" s="18" customFormat="1" ht="11.1" hidden="1" customHeight="1" outlineLevel="2" x14ac:dyDescent="0.2">
      <c r="A1645" s="108" t="s">
        <v>1278</v>
      </c>
      <c r="B1645" s="108"/>
      <c r="C1645" s="108"/>
      <c r="D1645" s="108"/>
      <c r="E1645" s="28" t="s">
        <v>547</v>
      </c>
      <c r="F1645" s="29">
        <v>4</v>
      </c>
      <c r="G1645" s="30">
        <v>2442.88</v>
      </c>
      <c r="H1645" s="49"/>
      <c r="I1645" s="30">
        <v>2442.88</v>
      </c>
    </row>
    <row r="1646" spans="1:9" s="18" customFormat="1" ht="11.1" hidden="1" customHeight="1" outlineLevel="2" x14ac:dyDescent="0.2">
      <c r="A1646" s="108" t="s">
        <v>1279</v>
      </c>
      <c r="B1646" s="108"/>
      <c r="C1646" s="108"/>
      <c r="D1646" s="108"/>
      <c r="E1646" s="28" t="s">
        <v>547</v>
      </c>
      <c r="F1646" s="29">
        <v>20</v>
      </c>
      <c r="G1646" s="44">
        <v>336.2</v>
      </c>
      <c r="H1646" s="49"/>
      <c r="I1646" s="44">
        <v>336.2</v>
      </c>
    </row>
    <row r="1647" spans="1:9" s="18" customFormat="1" ht="11.1" hidden="1" customHeight="1" outlineLevel="2" x14ac:dyDescent="0.2">
      <c r="A1647" s="108" t="s">
        <v>1280</v>
      </c>
      <c r="B1647" s="108"/>
      <c r="C1647" s="108"/>
      <c r="D1647" s="108"/>
      <c r="E1647" s="28" t="s">
        <v>547</v>
      </c>
      <c r="F1647" s="29">
        <v>10</v>
      </c>
      <c r="G1647" s="44">
        <v>16.2</v>
      </c>
      <c r="H1647" s="49"/>
      <c r="I1647" s="44">
        <v>16.2</v>
      </c>
    </row>
    <row r="1648" spans="1:9" s="18" customFormat="1" ht="11.1" hidden="1" customHeight="1" outlineLevel="2" x14ac:dyDescent="0.2">
      <c r="A1648" s="108" t="s">
        <v>1281</v>
      </c>
      <c r="B1648" s="108"/>
      <c r="C1648" s="108"/>
      <c r="D1648" s="108"/>
      <c r="E1648" s="28" t="s">
        <v>547</v>
      </c>
      <c r="F1648" s="29">
        <v>10</v>
      </c>
      <c r="G1648" s="30">
        <v>1127.0999999999999</v>
      </c>
      <c r="H1648" s="49"/>
      <c r="I1648" s="30">
        <v>1127.0999999999999</v>
      </c>
    </row>
    <row r="1649" spans="1:9" s="18" customFormat="1" ht="11.1" hidden="1" customHeight="1" outlineLevel="2" x14ac:dyDescent="0.2">
      <c r="A1649" s="108" t="s">
        <v>1282</v>
      </c>
      <c r="B1649" s="108"/>
      <c r="C1649" s="108"/>
      <c r="D1649" s="108"/>
      <c r="E1649" s="28" t="s">
        <v>547</v>
      </c>
      <c r="F1649" s="29">
        <v>10</v>
      </c>
      <c r="G1649" s="30">
        <v>2933.2</v>
      </c>
      <c r="H1649" s="49"/>
      <c r="I1649" s="30">
        <v>2933.2</v>
      </c>
    </row>
    <row r="1650" spans="1:9" s="18" customFormat="1" ht="11.1" hidden="1" customHeight="1" outlineLevel="2" x14ac:dyDescent="0.2">
      <c r="A1650" s="108" t="s">
        <v>1283</v>
      </c>
      <c r="B1650" s="108"/>
      <c r="C1650" s="108"/>
      <c r="D1650" s="108"/>
      <c r="E1650" s="28" t="s">
        <v>547</v>
      </c>
      <c r="F1650" s="29">
        <v>10</v>
      </c>
      <c r="G1650" s="30">
        <v>2287.3000000000002</v>
      </c>
      <c r="H1650" s="49"/>
      <c r="I1650" s="30">
        <v>2287.3000000000002</v>
      </c>
    </row>
    <row r="1651" spans="1:9" s="18" customFormat="1" ht="11.1" hidden="1" customHeight="1" outlineLevel="2" x14ac:dyDescent="0.2">
      <c r="A1651" s="108" t="s">
        <v>1284</v>
      </c>
      <c r="B1651" s="108"/>
      <c r="C1651" s="108"/>
      <c r="D1651" s="108"/>
      <c r="E1651" s="28" t="s">
        <v>547</v>
      </c>
      <c r="F1651" s="29">
        <v>1</v>
      </c>
      <c r="G1651" s="44">
        <v>926.04</v>
      </c>
      <c r="H1651" s="49"/>
      <c r="I1651" s="44">
        <v>926.04</v>
      </c>
    </row>
    <row r="1652" spans="1:9" s="18" customFormat="1" ht="11.1" hidden="1" customHeight="1" outlineLevel="2" x14ac:dyDescent="0.2">
      <c r="A1652" s="108" t="s">
        <v>1285</v>
      </c>
      <c r="B1652" s="108"/>
      <c r="C1652" s="108"/>
      <c r="D1652" s="108"/>
      <c r="E1652" s="28" t="s">
        <v>547</v>
      </c>
      <c r="F1652" s="29">
        <v>1</v>
      </c>
      <c r="G1652" s="44">
        <v>335.57</v>
      </c>
      <c r="H1652" s="49"/>
      <c r="I1652" s="44">
        <v>335.57</v>
      </c>
    </row>
    <row r="1653" spans="1:9" s="18" customFormat="1" ht="11.1" hidden="1" customHeight="1" outlineLevel="2" x14ac:dyDescent="0.2">
      <c r="A1653" s="108" t="s">
        <v>1286</v>
      </c>
      <c r="B1653" s="108"/>
      <c r="C1653" s="108"/>
      <c r="D1653" s="108"/>
      <c r="E1653" s="28" t="s">
        <v>547</v>
      </c>
      <c r="F1653" s="29">
        <v>4</v>
      </c>
      <c r="G1653" s="30">
        <v>21022.32</v>
      </c>
      <c r="H1653" s="49"/>
      <c r="I1653" s="30">
        <v>21022.32</v>
      </c>
    </row>
    <row r="1654" spans="1:9" s="18" customFormat="1" ht="11.1" hidden="1" customHeight="1" outlineLevel="2" x14ac:dyDescent="0.2">
      <c r="A1654" s="108" t="s">
        <v>1287</v>
      </c>
      <c r="B1654" s="108"/>
      <c r="C1654" s="108"/>
      <c r="D1654" s="108"/>
      <c r="E1654" s="28" t="s">
        <v>547</v>
      </c>
      <c r="F1654" s="29">
        <v>6</v>
      </c>
      <c r="G1654" s="30">
        <v>10515.54</v>
      </c>
      <c r="H1654" s="49"/>
      <c r="I1654" s="30">
        <v>10515.54</v>
      </c>
    </row>
    <row r="1655" spans="1:9" s="18" customFormat="1" ht="11.1" hidden="1" customHeight="1" outlineLevel="2" x14ac:dyDescent="0.2">
      <c r="A1655" s="108" t="s">
        <v>1288</v>
      </c>
      <c r="B1655" s="108"/>
      <c r="C1655" s="108"/>
      <c r="D1655" s="108"/>
      <c r="E1655" s="28" t="s">
        <v>547</v>
      </c>
      <c r="F1655" s="29">
        <v>30</v>
      </c>
      <c r="G1655" s="30">
        <v>21001.8</v>
      </c>
      <c r="H1655" s="49"/>
      <c r="I1655" s="30">
        <v>21001.8</v>
      </c>
    </row>
    <row r="1656" spans="1:9" s="18" customFormat="1" ht="11.1" hidden="1" customHeight="1" outlineLevel="2" x14ac:dyDescent="0.2">
      <c r="A1656" s="108" t="s">
        <v>1289</v>
      </c>
      <c r="B1656" s="108"/>
      <c r="C1656" s="108"/>
      <c r="D1656" s="108"/>
      <c r="E1656" s="28" t="s">
        <v>547</v>
      </c>
      <c r="F1656" s="29">
        <v>10</v>
      </c>
      <c r="G1656" s="30">
        <v>74327.3</v>
      </c>
      <c r="H1656" s="49"/>
      <c r="I1656" s="30">
        <v>74327.3</v>
      </c>
    </row>
    <row r="1657" spans="1:9" s="18" customFormat="1" ht="11.1" hidden="1" customHeight="1" outlineLevel="2" x14ac:dyDescent="0.2">
      <c r="A1657" s="108" t="s">
        <v>329</v>
      </c>
      <c r="B1657" s="108"/>
      <c r="C1657" s="108"/>
      <c r="D1657" s="108"/>
      <c r="E1657" s="28" t="s">
        <v>547</v>
      </c>
      <c r="F1657" s="29">
        <v>1.3</v>
      </c>
      <c r="G1657" s="30">
        <v>4444.99</v>
      </c>
      <c r="H1657" s="49"/>
      <c r="I1657" s="30">
        <v>4444.99</v>
      </c>
    </row>
    <row r="1658" spans="1:9" s="18" customFormat="1" ht="11.1" hidden="1" customHeight="1" outlineLevel="2" x14ac:dyDescent="0.2">
      <c r="A1658" s="108" t="s">
        <v>1290</v>
      </c>
      <c r="B1658" s="108"/>
      <c r="C1658" s="108"/>
      <c r="D1658" s="108"/>
      <c r="E1658" s="28" t="s">
        <v>547</v>
      </c>
      <c r="F1658" s="29">
        <v>10</v>
      </c>
      <c r="G1658" s="30">
        <v>13923.5</v>
      </c>
      <c r="H1658" s="49"/>
      <c r="I1658" s="30">
        <v>13923.5</v>
      </c>
    </row>
    <row r="1659" spans="1:9" s="18" customFormat="1" ht="11.1" hidden="1" customHeight="1" outlineLevel="2" x14ac:dyDescent="0.2">
      <c r="A1659" s="108" t="s">
        <v>1291</v>
      </c>
      <c r="B1659" s="108"/>
      <c r="C1659" s="108"/>
      <c r="D1659" s="108"/>
      <c r="E1659" s="28" t="s">
        <v>547</v>
      </c>
      <c r="F1659" s="29">
        <v>4</v>
      </c>
      <c r="G1659" s="30">
        <v>2659.8</v>
      </c>
      <c r="H1659" s="49"/>
      <c r="I1659" s="30">
        <v>2659.8</v>
      </c>
    </row>
    <row r="1660" spans="1:9" s="18" customFormat="1" ht="11.1" hidden="1" customHeight="1" outlineLevel="2" x14ac:dyDescent="0.2">
      <c r="A1660" s="108" t="s">
        <v>1292</v>
      </c>
      <c r="B1660" s="108"/>
      <c r="C1660" s="108"/>
      <c r="D1660" s="108"/>
      <c r="E1660" s="28" t="s">
        <v>547</v>
      </c>
      <c r="F1660" s="29">
        <v>10</v>
      </c>
      <c r="G1660" s="30">
        <v>1223.3</v>
      </c>
      <c r="H1660" s="49"/>
      <c r="I1660" s="30">
        <v>1223.3</v>
      </c>
    </row>
    <row r="1661" spans="1:9" s="18" customFormat="1" ht="11.1" hidden="1" customHeight="1" outlineLevel="2" x14ac:dyDescent="0.2">
      <c r="A1661" s="108" t="s">
        <v>1293</v>
      </c>
      <c r="B1661" s="108"/>
      <c r="C1661" s="108"/>
      <c r="D1661" s="108"/>
      <c r="E1661" s="28" t="s">
        <v>547</v>
      </c>
      <c r="F1661" s="29">
        <v>1</v>
      </c>
      <c r="G1661" s="44">
        <v>196.82</v>
      </c>
      <c r="H1661" s="49"/>
      <c r="I1661" s="44">
        <v>196.82</v>
      </c>
    </row>
    <row r="1662" spans="1:9" s="18" customFormat="1" ht="11.1" hidden="1" customHeight="1" outlineLevel="2" x14ac:dyDescent="0.2">
      <c r="A1662" s="108" t="s">
        <v>1293</v>
      </c>
      <c r="B1662" s="108"/>
      <c r="C1662" s="108"/>
      <c r="D1662" s="108"/>
      <c r="E1662" s="28" t="s">
        <v>547</v>
      </c>
      <c r="F1662" s="29">
        <v>9</v>
      </c>
      <c r="G1662" s="30">
        <v>1921.41</v>
      </c>
      <c r="H1662" s="49"/>
      <c r="I1662" s="30">
        <v>1921.41</v>
      </c>
    </row>
    <row r="1663" spans="1:9" s="18" customFormat="1" ht="11.1" hidden="1" customHeight="1" outlineLevel="2" x14ac:dyDescent="0.2">
      <c r="A1663" s="108" t="s">
        <v>1294</v>
      </c>
      <c r="B1663" s="108"/>
      <c r="C1663" s="108"/>
      <c r="D1663" s="108"/>
      <c r="E1663" s="28" t="s">
        <v>547</v>
      </c>
      <c r="F1663" s="29">
        <v>20</v>
      </c>
      <c r="G1663" s="30">
        <v>15803.8</v>
      </c>
      <c r="H1663" s="49"/>
      <c r="I1663" s="30">
        <v>15803.8</v>
      </c>
    </row>
    <row r="1664" spans="1:9" s="18" customFormat="1" ht="11.1" hidden="1" customHeight="1" outlineLevel="2" x14ac:dyDescent="0.2">
      <c r="A1664" s="108" t="s">
        <v>1295</v>
      </c>
      <c r="B1664" s="108"/>
      <c r="C1664" s="108"/>
      <c r="D1664" s="108"/>
      <c r="E1664" s="28" t="s">
        <v>547</v>
      </c>
      <c r="F1664" s="29">
        <v>20</v>
      </c>
      <c r="G1664" s="30">
        <v>6596.2</v>
      </c>
      <c r="H1664" s="49"/>
      <c r="I1664" s="30">
        <v>6596.2</v>
      </c>
    </row>
    <row r="1665" spans="1:9" s="18" customFormat="1" ht="11.1" hidden="1" customHeight="1" outlineLevel="2" x14ac:dyDescent="0.2">
      <c r="A1665" s="108" t="s">
        <v>1296</v>
      </c>
      <c r="B1665" s="108"/>
      <c r="C1665" s="108"/>
      <c r="D1665" s="108"/>
      <c r="E1665" s="28" t="s">
        <v>547</v>
      </c>
      <c r="F1665" s="29">
        <v>10</v>
      </c>
      <c r="G1665" s="44">
        <v>117.7</v>
      </c>
      <c r="H1665" s="49"/>
      <c r="I1665" s="44">
        <v>117.7</v>
      </c>
    </row>
    <row r="1666" spans="1:9" s="18" customFormat="1" ht="11.1" hidden="1" customHeight="1" outlineLevel="2" x14ac:dyDescent="0.2">
      <c r="A1666" s="108" t="s">
        <v>1297</v>
      </c>
      <c r="B1666" s="108"/>
      <c r="C1666" s="108"/>
      <c r="D1666" s="108"/>
      <c r="E1666" s="28" t="s">
        <v>547</v>
      </c>
      <c r="F1666" s="29">
        <v>10</v>
      </c>
      <c r="G1666" s="44">
        <v>13.2</v>
      </c>
      <c r="H1666" s="49"/>
      <c r="I1666" s="44">
        <v>13.2</v>
      </c>
    </row>
    <row r="1667" spans="1:9" s="18" customFormat="1" ht="11.1" hidden="1" customHeight="1" outlineLevel="2" x14ac:dyDescent="0.2">
      <c r="A1667" s="108" t="s">
        <v>1298</v>
      </c>
      <c r="B1667" s="108"/>
      <c r="C1667" s="108"/>
      <c r="D1667" s="108"/>
      <c r="E1667" s="28" t="s">
        <v>547</v>
      </c>
      <c r="F1667" s="29">
        <v>20</v>
      </c>
      <c r="G1667" s="30">
        <v>3328.2</v>
      </c>
      <c r="H1667" s="49"/>
      <c r="I1667" s="30">
        <v>3328.2</v>
      </c>
    </row>
    <row r="1668" spans="1:9" s="18" customFormat="1" ht="11.1" hidden="1" customHeight="1" outlineLevel="2" x14ac:dyDescent="0.2">
      <c r="A1668" s="108" t="s">
        <v>286</v>
      </c>
      <c r="B1668" s="108"/>
      <c r="C1668" s="108"/>
      <c r="D1668" s="108"/>
      <c r="E1668" s="28" t="s">
        <v>547</v>
      </c>
      <c r="F1668" s="29">
        <v>6</v>
      </c>
      <c r="G1668" s="30">
        <v>4737.84</v>
      </c>
      <c r="H1668" s="49"/>
      <c r="I1668" s="30">
        <v>4737.84</v>
      </c>
    </row>
    <row r="1669" spans="1:9" s="18" customFormat="1" ht="11.1" hidden="1" customHeight="1" outlineLevel="2" collapsed="1" x14ac:dyDescent="0.2">
      <c r="A1669" s="108" t="s">
        <v>1299</v>
      </c>
      <c r="B1669" s="108"/>
      <c r="C1669" s="108"/>
      <c r="D1669" s="108"/>
      <c r="E1669" s="28" t="s">
        <v>547</v>
      </c>
      <c r="F1669" s="29">
        <v>6</v>
      </c>
      <c r="G1669" s="30">
        <v>1059.3599999999999</v>
      </c>
      <c r="H1669" s="49"/>
      <c r="I1669" s="30">
        <v>1059.3599999999999</v>
      </c>
    </row>
    <row r="1670" spans="1:9" s="18" customFormat="1" ht="11.1" hidden="1" customHeight="1" outlineLevel="1" collapsed="1" x14ac:dyDescent="0.2">
      <c r="A1670" s="107" t="s">
        <v>1300</v>
      </c>
      <c r="B1670" s="107"/>
      <c r="C1670" s="107"/>
      <c r="D1670" s="107"/>
      <c r="E1670" s="107"/>
      <c r="F1670" s="25">
        <v>16</v>
      </c>
      <c r="G1670" s="26">
        <v>7204.32</v>
      </c>
      <c r="H1670" s="48"/>
      <c r="I1670" s="26">
        <v>7204.32</v>
      </c>
    </row>
    <row r="1671" spans="1:9" s="18" customFormat="1" ht="11.1" hidden="1" customHeight="1" outlineLevel="2" x14ac:dyDescent="0.2">
      <c r="A1671" s="108" t="s">
        <v>1301</v>
      </c>
      <c r="B1671" s="108"/>
      <c r="C1671" s="108"/>
      <c r="D1671" s="108"/>
      <c r="E1671" s="28" t="s">
        <v>547</v>
      </c>
      <c r="F1671" s="29">
        <v>8</v>
      </c>
      <c r="G1671" s="44">
        <v>884.72</v>
      </c>
      <c r="H1671" s="49"/>
      <c r="I1671" s="44">
        <v>884.72</v>
      </c>
    </row>
    <row r="1672" spans="1:9" s="18" customFormat="1" ht="11.1" hidden="1" customHeight="1" outlineLevel="2" collapsed="1" x14ac:dyDescent="0.2">
      <c r="A1672" s="108" t="s">
        <v>1302</v>
      </c>
      <c r="B1672" s="108"/>
      <c r="C1672" s="108"/>
      <c r="D1672" s="108"/>
      <c r="E1672" s="28" t="s">
        <v>547</v>
      </c>
      <c r="F1672" s="29">
        <v>8</v>
      </c>
      <c r="G1672" s="30">
        <v>6319.6</v>
      </c>
      <c r="H1672" s="49"/>
      <c r="I1672" s="30">
        <v>6319.6</v>
      </c>
    </row>
    <row r="1673" spans="1:9" s="18" customFormat="1" ht="11.1" hidden="1" customHeight="1" outlineLevel="1" collapsed="1" x14ac:dyDescent="0.2">
      <c r="A1673" s="107" t="s">
        <v>1303</v>
      </c>
      <c r="B1673" s="107"/>
      <c r="C1673" s="107"/>
      <c r="D1673" s="107"/>
      <c r="E1673" s="107"/>
      <c r="F1673" s="25">
        <v>5</v>
      </c>
      <c r="G1673" s="39">
        <v>50384.9</v>
      </c>
      <c r="H1673" s="48"/>
      <c r="I1673" s="39">
        <v>50384.9</v>
      </c>
    </row>
    <row r="1674" spans="1:9" s="18" customFormat="1" ht="11.1" hidden="1" customHeight="1" outlineLevel="2" collapsed="1" x14ac:dyDescent="0.2">
      <c r="A1674" s="108" t="s">
        <v>1018</v>
      </c>
      <c r="B1674" s="108"/>
      <c r="C1674" s="108"/>
      <c r="D1674" s="108"/>
      <c r="E1674" s="28" t="s">
        <v>547</v>
      </c>
      <c r="F1674" s="29">
        <v>5</v>
      </c>
      <c r="G1674" s="30">
        <v>50384.9</v>
      </c>
      <c r="H1674" s="49"/>
      <c r="I1674" s="30">
        <v>50384.9</v>
      </c>
    </row>
    <row r="1675" spans="1:9" s="18" customFormat="1" ht="11.1" hidden="1" customHeight="1" outlineLevel="1" collapsed="1" x14ac:dyDescent="0.2">
      <c r="A1675" s="107" t="s">
        <v>1304</v>
      </c>
      <c r="B1675" s="107"/>
      <c r="C1675" s="107"/>
      <c r="D1675" s="107"/>
      <c r="E1675" s="107"/>
      <c r="F1675" s="25">
        <v>5</v>
      </c>
      <c r="G1675" s="26">
        <v>50314.55</v>
      </c>
      <c r="H1675" s="48"/>
      <c r="I1675" s="26">
        <v>50314.55</v>
      </c>
    </row>
    <row r="1676" spans="1:9" s="18" customFormat="1" ht="11.1" hidden="1" customHeight="1" outlineLevel="2" collapsed="1" x14ac:dyDescent="0.2">
      <c r="A1676" s="108" t="s">
        <v>1018</v>
      </c>
      <c r="B1676" s="108"/>
      <c r="C1676" s="108"/>
      <c r="D1676" s="108"/>
      <c r="E1676" s="28" t="s">
        <v>547</v>
      </c>
      <c r="F1676" s="29">
        <v>5</v>
      </c>
      <c r="G1676" s="30">
        <v>50314.55</v>
      </c>
      <c r="H1676" s="49"/>
      <c r="I1676" s="30">
        <v>50314.55</v>
      </c>
    </row>
    <row r="1677" spans="1:9" s="18" customFormat="1" ht="11.1" hidden="1" customHeight="1" outlineLevel="1" collapsed="1" x14ac:dyDescent="0.2">
      <c r="A1677" s="107" t="s">
        <v>1305</v>
      </c>
      <c r="B1677" s="107"/>
      <c r="C1677" s="107"/>
      <c r="D1677" s="107"/>
      <c r="E1677" s="107"/>
      <c r="F1677" s="25">
        <v>4</v>
      </c>
      <c r="G1677" s="26">
        <v>83094.720000000001</v>
      </c>
      <c r="H1677" s="48"/>
      <c r="I1677" s="26">
        <v>83094.720000000001</v>
      </c>
    </row>
    <row r="1678" spans="1:9" s="18" customFormat="1" ht="11.1" hidden="1" customHeight="1" outlineLevel="2" collapsed="1" x14ac:dyDescent="0.2">
      <c r="A1678" s="108" t="s">
        <v>1241</v>
      </c>
      <c r="B1678" s="108"/>
      <c r="C1678" s="108"/>
      <c r="D1678" s="108"/>
      <c r="E1678" s="28" t="s">
        <v>547</v>
      </c>
      <c r="F1678" s="29">
        <v>4</v>
      </c>
      <c r="G1678" s="30">
        <v>83094.720000000001</v>
      </c>
      <c r="H1678" s="49"/>
      <c r="I1678" s="30">
        <v>83094.720000000001</v>
      </c>
    </row>
    <row r="1679" spans="1:9" s="18" customFormat="1" ht="11.1" hidden="1" customHeight="1" outlineLevel="1" collapsed="1" x14ac:dyDescent="0.2">
      <c r="A1679" s="107" t="s">
        <v>1306</v>
      </c>
      <c r="B1679" s="107"/>
      <c r="C1679" s="107"/>
      <c r="D1679" s="107"/>
      <c r="E1679" s="107"/>
      <c r="F1679" s="25">
        <v>1</v>
      </c>
      <c r="G1679" s="26">
        <v>1830.55</v>
      </c>
      <c r="H1679" s="48"/>
      <c r="I1679" s="26">
        <v>1830.55</v>
      </c>
    </row>
    <row r="1680" spans="1:9" s="18" customFormat="1" ht="11.1" hidden="1" customHeight="1" outlineLevel="2" collapsed="1" x14ac:dyDescent="0.2">
      <c r="A1680" s="108" t="s">
        <v>1307</v>
      </c>
      <c r="B1680" s="108"/>
      <c r="C1680" s="108"/>
      <c r="D1680" s="108"/>
      <c r="E1680" s="28" t="s">
        <v>547</v>
      </c>
      <c r="F1680" s="29">
        <v>1</v>
      </c>
      <c r="G1680" s="30">
        <v>1830.55</v>
      </c>
      <c r="H1680" s="49"/>
      <c r="I1680" s="30">
        <v>1830.55</v>
      </c>
    </row>
    <row r="1681" spans="1:10" s="18" customFormat="1" ht="11.1" hidden="1" customHeight="1" outlineLevel="1" collapsed="1" x14ac:dyDescent="0.2">
      <c r="A1681" s="107" t="s">
        <v>1308</v>
      </c>
      <c r="B1681" s="107"/>
      <c r="C1681" s="107"/>
      <c r="D1681" s="107"/>
      <c r="E1681" s="107"/>
      <c r="F1681" s="25">
        <v>1</v>
      </c>
      <c r="G1681" s="26">
        <v>1824.91</v>
      </c>
      <c r="H1681" s="48"/>
      <c r="I1681" s="26">
        <v>1824.91</v>
      </c>
    </row>
    <row r="1682" spans="1:10" s="18" customFormat="1" ht="11.1" hidden="1" customHeight="1" outlineLevel="2" collapsed="1" x14ac:dyDescent="0.2">
      <c r="A1682" s="108" t="s">
        <v>841</v>
      </c>
      <c r="B1682" s="108"/>
      <c r="C1682" s="108"/>
      <c r="D1682" s="108"/>
      <c r="E1682" s="28" t="s">
        <v>547</v>
      </c>
      <c r="F1682" s="29">
        <v>1</v>
      </c>
      <c r="G1682" s="30">
        <v>1824.91</v>
      </c>
      <c r="H1682" s="49"/>
      <c r="I1682" s="30">
        <v>1824.91</v>
      </c>
    </row>
    <row r="1683" spans="1:10" s="18" customFormat="1" ht="11.1" hidden="1" customHeight="1" outlineLevel="1" collapsed="1" x14ac:dyDescent="0.2">
      <c r="A1683" s="107" t="s">
        <v>1309</v>
      </c>
      <c r="B1683" s="107"/>
      <c r="C1683" s="107"/>
      <c r="D1683" s="107"/>
      <c r="E1683" s="107"/>
      <c r="F1683" s="25">
        <v>20</v>
      </c>
      <c r="G1683" s="39">
        <v>1171871.3999999999</v>
      </c>
      <c r="H1683" s="48"/>
      <c r="I1683" s="39">
        <v>1171871.3999999999</v>
      </c>
    </row>
    <row r="1684" spans="1:10" s="18" customFormat="1" ht="11.1" hidden="1" customHeight="1" outlineLevel="2" collapsed="1" x14ac:dyDescent="0.2">
      <c r="A1684" s="108" t="s">
        <v>1246</v>
      </c>
      <c r="B1684" s="108"/>
      <c r="C1684" s="108"/>
      <c r="D1684" s="108"/>
      <c r="E1684" s="28" t="s">
        <v>547</v>
      </c>
      <c r="F1684" s="29">
        <v>20</v>
      </c>
      <c r="G1684" s="30">
        <v>1171871.3999999999</v>
      </c>
      <c r="H1684" s="49"/>
      <c r="I1684" s="30">
        <v>1171871.3999999999</v>
      </c>
    </row>
    <row r="1685" spans="1:10" s="18" customFormat="1" ht="11.1" hidden="1" customHeight="1" outlineLevel="1" collapsed="1" x14ac:dyDescent="0.2">
      <c r="A1685" s="107" t="s">
        <v>1310</v>
      </c>
      <c r="B1685" s="107"/>
      <c r="C1685" s="107"/>
      <c r="D1685" s="107"/>
      <c r="E1685" s="107"/>
      <c r="F1685" s="25">
        <v>50</v>
      </c>
      <c r="G1685" s="39">
        <v>367472.3</v>
      </c>
      <c r="H1685" s="48"/>
      <c r="I1685" s="39">
        <v>367472.3</v>
      </c>
    </row>
    <row r="1686" spans="1:10" s="18" customFormat="1" ht="11.1" hidden="1" customHeight="1" outlineLevel="2" x14ac:dyDescent="0.2">
      <c r="A1686" s="108" t="s">
        <v>1311</v>
      </c>
      <c r="B1686" s="108"/>
      <c r="C1686" s="108"/>
      <c r="D1686" s="108"/>
      <c r="E1686" s="28" t="s">
        <v>547</v>
      </c>
      <c r="F1686" s="29">
        <v>10</v>
      </c>
      <c r="G1686" s="30">
        <v>16339.2</v>
      </c>
      <c r="H1686" s="49"/>
      <c r="I1686" s="30">
        <v>16339.2</v>
      </c>
    </row>
    <row r="1687" spans="1:10" s="18" customFormat="1" ht="11.1" hidden="1" customHeight="1" outlineLevel="2" x14ac:dyDescent="0.2">
      <c r="A1687" s="108" t="s">
        <v>1059</v>
      </c>
      <c r="B1687" s="108"/>
      <c r="C1687" s="108"/>
      <c r="D1687" s="108"/>
      <c r="E1687" s="28" t="s">
        <v>547</v>
      </c>
      <c r="F1687" s="29">
        <v>30</v>
      </c>
      <c r="G1687" s="30">
        <v>338563.5</v>
      </c>
      <c r="H1687" s="49"/>
      <c r="I1687" s="30">
        <v>338563.5</v>
      </c>
    </row>
    <row r="1688" spans="1:10" s="18" customFormat="1" ht="11.1" hidden="1" customHeight="1" outlineLevel="2" x14ac:dyDescent="0.2">
      <c r="A1688" s="108" t="s">
        <v>1312</v>
      </c>
      <c r="B1688" s="108"/>
      <c r="C1688" s="108"/>
      <c r="D1688" s="108"/>
      <c r="E1688" s="28" t="s">
        <v>547</v>
      </c>
      <c r="F1688" s="29">
        <v>10</v>
      </c>
      <c r="G1688" s="30">
        <v>12569.6</v>
      </c>
      <c r="H1688" s="49"/>
      <c r="I1688" s="30">
        <v>12569.6</v>
      </c>
    </row>
    <row r="1689" spans="1:10" ht="11.1" customHeight="1" collapsed="1" x14ac:dyDescent="0.2">
      <c r="A1689" s="109" t="s">
        <v>1313</v>
      </c>
      <c r="B1689" s="109"/>
      <c r="C1689" s="109"/>
      <c r="D1689" s="109"/>
      <c r="E1689" s="109"/>
      <c r="F1689" s="22">
        <v>1</v>
      </c>
      <c r="G1689" s="23">
        <v>142309.22</v>
      </c>
      <c r="H1689" s="24">
        <v>28461.84</v>
      </c>
      <c r="I1689" s="23">
        <v>170771.06</v>
      </c>
      <c r="J1689" s="20" t="s">
        <v>1337</v>
      </c>
    </row>
    <row r="1690" spans="1:10" s="18" customFormat="1" ht="11.1" hidden="1" customHeight="1" outlineLevel="1" x14ac:dyDescent="0.2">
      <c r="A1690" s="107" t="s">
        <v>1314</v>
      </c>
      <c r="B1690" s="107"/>
      <c r="C1690" s="107"/>
      <c r="D1690" s="107"/>
      <c r="E1690" s="107"/>
      <c r="F1690" s="25">
        <v>1</v>
      </c>
      <c r="G1690" s="26">
        <v>142309.22</v>
      </c>
      <c r="H1690" s="27">
        <v>28461.84</v>
      </c>
      <c r="I1690" s="26">
        <v>170771.06</v>
      </c>
    </row>
    <row r="1691" spans="1:10" s="18" customFormat="1" ht="11.1" hidden="1" customHeight="1" outlineLevel="2" x14ac:dyDescent="0.2">
      <c r="A1691" s="108" t="s">
        <v>1315</v>
      </c>
      <c r="B1691" s="108"/>
      <c r="C1691" s="108"/>
      <c r="D1691" s="108"/>
      <c r="E1691" s="28" t="s">
        <v>147</v>
      </c>
      <c r="F1691" s="29">
        <v>1</v>
      </c>
      <c r="G1691" s="30">
        <v>142309.22</v>
      </c>
      <c r="H1691" s="32">
        <v>28461.84</v>
      </c>
      <c r="I1691" s="30">
        <v>170771.06</v>
      </c>
    </row>
    <row r="1692" spans="1:10" ht="11.1" customHeight="1" collapsed="1" x14ac:dyDescent="0.2">
      <c r="A1692" s="109" t="s">
        <v>1316</v>
      </c>
      <c r="B1692" s="109"/>
      <c r="C1692" s="109"/>
      <c r="D1692" s="109"/>
      <c r="E1692" s="109"/>
      <c r="F1692" s="22">
        <v>4</v>
      </c>
      <c r="G1692" s="23">
        <v>8566.67</v>
      </c>
      <c r="H1692" s="24">
        <v>1713.33</v>
      </c>
      <c r="I1692" s="36">
        <v>10280</v>
      </c>
      <c r="J1692" s="20" t="s">
        <v>1337</v>
      </c>
    </row>
    <row r="1693" spans="1:10" s="18" customFormat="1" ht="11.1" hidden="1" customHeight="1" outlineLevel="1" x14ac:dyDescent="0.2">
      <c r="A1693" s="107" t="s">
        <v>1317</v>
      </c>
      <c r="B1693" s="107"/>
      <c r="C1693" s="107"/>
      <c r="D1693" s="107"/>
      <c r="E1693" s="107"/>
      <c r="F1693" s="25">
        <v>4</v>
      </c>
      <c r="G1693" s="26">
        <v>8566.67</v>
      </c>
      <c r="H1693" s="27">
        <v>1713.33</v>
      </c>
      <c r="I1693" s="34">
        <v>10280</v>
      </c>
    </row>
    <row r="1694" spans="1:10" s="18" customFormat="1" ht="11.1" hidden="1" customHeight="1" outlineLevel="2" x14ac:dyDescent="0.2">
      <c r="A1694" s="108" t="s">
        <v>1318</v>
      </c>
      <c r="B1694" s="108"/>
      <c r="C1694" s="108"/>
      <c r="D1694" s="108"/>
      <c r="E1694" s="28" t="s">
        <v>147</v>
      </c>
      <c r="F1694" s="29">
        <v>4</v>
      </c>
      <c r="G1694" s="30">
        <v>8566.67</v>
      </c>
      <c r="H1694" s="32">
        <v>1713.33</v>
      </c>
      <c r="I1694" s="30">
        <v>10280</v>
      </c>
    </row>
    <row r="1695" spans="1:10" ht="11.1" customHeight="1" collapsed="1" x14ac:dyDescent="0.2">
      <c r="A1695" s="109" t="s">
        <v>1319</v>
      </c>
      <c r="B1695" s="109"/>
      <c r="C1695" s="109"/>
      <c r="D1695" s="109"/>
      <c r="E1695" s="109"/>
      <c r="F1695" s="22">
        <v>19</v>
      </c>
      <c r="G1695" s="38">
        <v>12500.1</v>
      </c>
      <c r="H1695" s="24">
        <v>2500.02</v>
      </c>
      <c r="I1695" s="23">
        <v>15000.12</v>
      </c>
      <c r="J1695" s="20" t="s">
        <v>1336</v>
      </c>
    </row>
    <row r="1696" spans="1:10" s="18" customFormat="1" ht="11.1" hidden="1" customHeight="1" outlineLevel="1" x14ac:dyDescent="0.2">
      <c r="A1696" s="107" t="s">
        <v>1320</v>
      </c>
      <c r="B1696" s="107"/>
      <c r="C1696" s="107"/>
      <c r="D1696" s="107"/>
      <c r="E1696" s="107"/>
      <c r="F1696" s="25">
        <v>19</v>
      </c>
      <c r="G1696" s="39">
        <v>12500.1</v>
      </c>
      <c r="H1696" s="27">
        <v>2500.02</v>
      </c>
      <c r="I1696" s="26">
        <v>15000.12</v>
      </c>
    </row>
    <row r="1697" spans="1:10" s="18" customFormat="1" ht="11.1" hidden="1" customHeight="1" outlineLevel="2" x14ac:dyDescent="0.2">
      <c r="A1697" s="108" t="s">
        <v>1321</v>
      </c>
      <c r="B1697" s="108"/>
      <c r="C1697" s="108"/>
      <c r="D1697" s="108"/>
      <c r="E1697" s="28" t="s">
        <v>147</v>
      </c>
      <c r="F1697" s="29">
        <v>8</v>
      </c>
      <c r="G1697" s="30">
        <v>5263.2</v>
      </c>
      <c r="H1697" s="32">
        <v>1052.6400000000001</v>
      </c>
      <c r="I1697" s="30">
        <v>6315.84</v>
      </c>
    </row>
    <row r="1698" spans="1:10" s="18" customFormat="1" ht="11.1" hidden="1" customHeight="1" outlineLevel="2" x14ac:dyDescent="0.2">
      <c r="A1698" s="108" t="s">
        <v>1321</v>
      </c>
      <c r="B1698" s="108"/>
      <c r="C1698" s="108"/>
      <c r="D1698" s="108"/>
      <c r="E1698" s="28" t="s">
        <v>147</v>
      </c>
      <c r="F1698" s="29">
        <v>10</v>
      </c>
      <c r="G1698" s="30">
        <v>6579</v>
      </c>
      <c r="H1698" s="32">
        <v>1315.8</v>
      </c>
      <c r="I1698" s="30">
        <v>7894.8</v>
      </c>
    </row>
    <row r="1699" spans="1:10" s="18" customFormat="1" ht="11.1" hidden="1" customHeight="1" outlineLevel="2" x14ac:dyDescent="0.2">
      <c r="A1699" s="108" t="s">
        <v>1321</v>
      </c>
      <c r="B1699" s="108"/>
      <c r="C1699" s="108"/>
      <c r="D1699" s="108"/>
      <c r="E1699" s="28" t="s">
        <v>147</v>
      </c>
      <c r="F1699" s="29">
        <v>1</v>
      </c>
      <c r="G1699" s="44">
        <v>657.9</v>
      </c>
      <c r="H1699" s="31">
        <v>131.58000000000001</v>
      </c>
      <c r="I1699" s="44">
        <v>789.48</v>
      </c>
    </row>
    <row r="1700" spans="1:10" ht="11.1" customHeight="1" collapsed="1" x14ac:dyDescent="0.2">
      <c r="A1700" s="109" t="s">
        <v>1322</v>
      </c>
      <c r="B1700" s="109"/>
      <c r="C1700" s="109"/>
      <c r="D1700" s="109"/>
      <c r="E1700" s="109"/>
      <c r="F1700" s="22">
        <v>241</v>
      </c>
      <c r="G1700" s="23">
        <v>53435.62</v>
      </c>
      <c r="H1700" s="24">
        <v>10687.13</v>
      </c>
      <c r="I1700" s="23">
        <v>64122.75</v>
      </c>
      <c r="J1700" s="20" t="s">
        <v>1336</v>
      </c>
    </row>
    <row r="1701" spans="1:10" s="18" customFormat="1" ht="11.1" hidden="1" customHeight="1" outlineLevel="1" x14ac:dyDescent="0.2">
      <c r="A1701" s="107" t="s">
        <v>1323</v>
      </c>
      <c r="B1701" s="107"/>
      <c r="C1701" s="107"/>
      <c r="D1701" s="107"/>
      <c r="E1701" s="107"/>
      <c r="F1701" s="25">
        <v>241</v>
      </c>
      <c r="G1701" s="26">
        <v>53435.62</v>
      </c>
      <c r="H1701" s="27">
        <v>10687.13</v>
      </c>
      <c r="I1701" s="26">
        <v>64122.75</v>
      </c>
    </row>
    <row r="1702" spans="1:10" s="18" customFormat="1" ht="21.95" hidden="1" customHeight="1" outlineLevel="2" x14ac:dyDescent="0.2">
      <c r="A1702" s="108" t="s">
        <v>1324</v>
      </c>
      <c r="B1702" s="108"/>
      <c r="C1702" s="108"/>
      <c r="D1702" s="108"/>
      <c r="E1702" s="28" t="s">
        <v>147</v>
      </c>
      <c r="F1702" s="29">
        <v>21</v>
      </c>
      <c r="G1702" s="30">
        <v>10808</v>
      </c>
      <c r="H1702" s="32">
        <v>2161.6</v>
      </c>
      <c r="I1702" s="30">
        <v>12969.6</v>
      </c>
    </row>
    <row r="1703" spans="1:10" s="18" customFormat="1" ht="21.95" hidden="1" customHeight="1" outlineLevel="2" x14ac:dyDescent="0.2">
      <c r="A1703" s="108" t="s">
        <v>1325</v>
      </c>
      <c r="B1703" s="108"/>
      <c r="C1703" s="108"/>
      <c r="D1703" s="108"/>
      <c r="E1703" s="28" t="s">
        <v>147</v>
      </c>
      <c r="F1703" s="29">
        <v>40</v>
      </c>
      <c r="G1703" s="30">
        <v>16533.330000000002</v>
      </c>
      <c r="H1703" s="32">
        <v>3306.67</v>
      </c>
      <c r="I1703" s="30">
        <v>19840</v>
      </c>
    </row>
    <row r="1704" spans="1:10" s="18" customFormat="1" ht="11.1" hidden="1" customHeight="1" outlineLevel="2" x14ac:dyDescent="0.2">
      <c r="A1704" s="108" t="s">
        <v>1326</v>
      </c>
      <c r="B1704" s="108"/>
      <c r="C1704" s="108"/>
      <c r="D1704" s="108"/>
      <c r="E1704" s="28" t="s">
        <v>147</v>
      </c>
      <c r="F1704" s="29">
        <v>92</v>
      </c>
      <c r="G1704" s="44">
        <v>970.29</v>
      </c>
      <c r="H1704" s="31">
        <v>194.06</v>
      </c>
      <c r="I1704" s="30">
        <v>1164.3499999999999</v>
      </c>
    </row>
    <row r="1705" spans="1:10" s="18" customFormat="1" ht="21.95" hidden="1" customHeight="1" outlineLevel="2" x14ac:dyDescent="0.2">
      <c r="A1705" s="108" t="s">
        <v>1327</v>
      </c>
      <c r="B1705" s="108"/>
      <c r="C1705" s="108"/>
      <c r="D1705" s="108"/>
      <c r="E1705" s="28" t="s">
        <v>147</v>
      </c>
      <c r="F1705" s="29">
        <v>33</v>
      </c>
      <c r="G1705" s="30">
        <v>21670</v>
      </c>
      <c r="H1705" s="32">
        <v>4334</v>
      </c>
      <c r="I1705" s="30">
        <v>26004</v>
      </c>
    </row>
    <row r="1706" spans="1:10" s="18" customFormat="1" ht="11.1" hidden="1" customHeight="1" outlineLevel="2" x14ac:dyDescent="0.2">
      <c r="A1706" s="108" t="s">
        <v>1328</v>
      </c>
      <c r="B1706" s="108"/>
      <c r="C1706" s="108"/>
      <c r="D1706" s="108"/>
      <c r="E1706" s="28" t="s">
        <v>147</v>
      </c>
      <c r="F1706" s="29">
        <v>47</v>
      </c>
      <c r="G1706" s="44">
        <v>344.67</v>
      </c>
      <c r="H1706" s="31">
        <v>68.930000000000007</v>
      </c>
      <c r="I1706" s="44">
        <v>413.6</v>
      </c>
    </row>
    <row r="1707" spans="1:10" s="18" customFormat="1" ht="21.95" hidden="1" customHeight="1" outlineLevel="2" x14ac:dyDescent="0.2">
      <c r="A1707" s="108" t="s">
        <v>1329</v>
      </c>
      <c r="B1707" s="108"/>
      <c r="C1707" s="108"/>
      <c r="D1707" s="108"/>
      <c r="E1707" s="28" t="s">
        <v>147</v>
      </c>
      <c r="F1707" s="29">
        <v>8</v>
      </c>
      <c r="G1707" s="30">
        <v>3109.33</v>
      </c>
      <c r="H1707" s="31">
        <v>621.87</v>
      </c>
      <c r="I1707" s="30">
        <v>3731.2</v>
      </c>
    </row>
    <row r="1708" spans="1:10" ht="11.1" customHeight="1" collapsed="1" x14ac:dyDescent="0.2">
      <c r="A1708" s="109" t="s">
        <v>1330</v>
      </c>
      <c r="B1708" s="109"/>
      <c r="C1708" s="109"/>
      <c r="D1708" s="109"/>
      <c r="E1708" s="109"/>
      <c r="F1708" s="22">
        <v>32</v>
      </c>
      <c r="G1708" s="23">
        <v>86133.33</v>
      </c>
      <c r="H1708" s="24">
        <v>17226.669999999998</v>
      </c>
      <c r="I1708" s="36">
        <v>103360</v>
      </c>
      <c r="J1708" s="20" t="s">
        <v>1335</v>
      </c>
    </row>
    <row r="1709" spans="1:10" s="18" customFormat="1" ht="11.1" hidden="1" customHeight="1" outlineLevel="1" collapsed="1" x14ac:dyDescent="0.2">
      <c r="A1709" s="107" t="s">
        <v>1331</v>
      </c>
      <c r="B1709" s="107"/>
      <c r="C1709" s="107"/>
      <c r="D1709" s="107"/>
      <c r="E1709" s="107"/>
      <c r="F1709" s="25">
        <v>8</v>
      </c>
      <c r="G1709" s="26">
        <v>21533.33</v>
      </c>
      <c r="H1709" s="27">
        <v>4306.67</v>
      </c>
      <c r="I1709" s="34">
        <v>25840</v>
      </c>
    </row>
    <row r="1710" spans="1:10" s="18" customFormat="1" ht="11.1" hidden="1" customHeight="1" outlineLevel="2" collapsed="1" x14ac:dyDescent="0.2">
      <c r="A1710" s="108" t="s">
        <v>831</v>
      </c>
      <c r="B1710" s="108"/>
      <c r="C1710" s="108"/>
      <c r="D1710" s="108"/>
      <c r="E1710" s="28" t="s">
        <v>147</v>
      </c>
      <c r="F1710" s="29">
        <v>8</v>
      </c>
      <c r="G1710" s="30">
        <v>21533.33</v>
      </c>
      <c r="H1710" s="32">
        <v>4306.67</v>
      </c>
      <c r="I1710" s="30">
        <v>25840</v>
      </c>
    </row>
    <row r="1711" spans="1:10" s="18" customFormat="1" ht="11.1" hidden="1" customHeight="1" outlineLevel="1" collapsed="1" x14ac:dyDescent="0.2">
      <c r="A1711" s="107" t="s">
        <v>1332</v>
      </c>
      <c r="B1711" s="107"/>
      <c r="C1711" s="107"/>
      <c r="D1711" s="107"/>
      <c r="E1711" s="107"/>
      <c r="F1711" s="25">
        <v>10</v>
      </c>
      <c r="G1711" s="26">
        <v>26916.67</v>
      </c>
      <c r="H1711" s="27">
        <v>5383.33</v>
      </c>
      <c r="I1711" s="34">
        <v>32300</v>
      </c>
    </row>
    <row r="1712" spans="1:10" s="18" customFormat="1" ht="11.1" hidden="1" customHeight="1" outlineLevel="2" collapsed="1" x14ac:dyDescent="0.2">
      <c r="A1712" s="108" t="s">
        <v>831</v>
      </c>
      <c r="B1712" s="108"/>
      <c r="C1712" s="108"/>
      <c r="D1712" s="108"/>
      <c r="E1712" s="28" t="s">
        <v>147</v>
      </c>
      <c r="F1712" s="29">
        <v>10</v>
      </c>
      <c r="G1712" s="30">
        <v>26916.67</v>
      </c>
      <c r="H1712" s="32">
        <v>5383.33</v>
      </c>
      <c r="I1712" s="30">
        <v>32300</v>
      </c>
    </row>
    <row r="1713" spans="1:10" s="18" customFormat="1" ht="11.1" hidden="1" customHeight="1" outlineLevel="1" collapsed="1" x14ac:dyDescent="0.2">
      <c r="A1713" s="107" t="s">
        <v>1333</v>
      </c>
      <c r="B1713" s="107"/>
      <c r="C1713" s="107"/>
      <c r="D1713" s="107"/>
      <c r="E1713" s="107"/>
      <c r="F1713" s="25">
        <v>14</v>
      </c>
      <c r="G1713" s="26">
        <v>37683.33</v>
      </c>
      <c r="H1713" s="27">
        <v>7536.67</v>
      </c>
      <c r="I1713" s="34">
        <v>45220</v>
      </c>
    </row>
    <row r="1714" spans="1:10" s="18" customFormat="1" ht="11.1" hidden="1" customHeight="1" outlineLevel="2" x14ac:dyDescent="0.2">
      <c r="A1714" s="108" t="s">
        <v>831</v>
      </c>
      <c r="B1714" s="108"/>
      <c r="C1714" s="108"/>
      <c r="D1714" s="108"/>
      <c r="E1714" s="28" t="s">
        <v>147</v>
      </c>
      <c r="F1714" s="29">
        <v>14</v>
      </c>
      <c r="G1714" s="30">
        <v>37683.33</v>
      </c>
      <c r="H1714" s="32">
        <v>7536.67</v>
      </c>
      <c r="I1714" s="30">
        <v>45220</v>
      </c>
    </row>
    <row r="1715" spans="1:10" ht="12.95" customHeight="1" x14ac:dyDescent="0.2">
      <c r="A1715" s="114" t="s">
        <v>1334</v>
      </c>
      <c r="B1715" s="114"/>
      <c r="C1715" s="114"/>
      <c r="D1715" s="114"/>
      <c r="E1715" s="114"/>
      <c r="F1715" s="55">
        <v>19284.424999999999</v>
      </c>
      <c r="G1715" s="56">
        <v>60569399.850000001</v>
      </c>
      <c r="H1715" s="57">
        <v>7464618.6900000004</v>
      </c>
      <c r="I1715" s="56">
        <v>68034018.540000007</v>
      </c>
    </row>
    <row r="1717" spans="1:10" ht="11.45" customHeight="1" x14ac:dyDescent="0.2">
      <c r="I1717" s="20">
        <f>1130720.05+66281.86</f>
        <v>1197001.9100000001</v>
      </c>
      <c r="J1717" s="20" t="s">
        <v>1335</v>
      </c>
    </row>
    <row r="1718" spans="1:10" ht="11.45" customHeight="1" x14ac:dyDescent="0.2">
      <c r="C1718" s="18" t="s">
        <v>1338</v>
      </c>
    </row>
  </sheetData>
  <mergeCells count="1712">
    <mergeCell ref="A1715:E1715"/>
    <mergeCell ref="A1709:E1709"/>
    <mergeCell ref="A1710:D1710"/>
    <mergeCell ref="A1711:E1711"/>
    <mergeCell ref="A1712:D1712"/>
    <mergeCell ref="A1713:E1713"/>
    <mergeCell ref="A1714:D1714"/>
    <mergeCell ref="A1703:D1703"/>
    <mergeCell ref="A1704:D1704"/>
    <mergeCell ref="A1705:D1705"/>
    <mergeCell ref="A1706:D1706"/>
    <mergeCell ref="A1707:D1707"/>
    <mergeCell ref="A1708:E1708"/>
    <mergeCell ref="A1697:D1697"/>
    <mergeCell ref="A1698:D1698"/>
    <mergeCell ref="A1699:D1699"/>
    <mergeCell ref="A1700:E1700"/>
    <mergeCell ref="A1701:E1701"/>
    <mergeCell ref="A1702:D1702"/>
    <mergeCell ref="A1691:D1691"/>
    <mergeCell ref="A1692:E1692"/>
    <mergeCell ref="A1693:E1693"/>
    <mergeCell ref="A1694:D1694"/>
    <mergeCell ref="A1695:E1695"/>
    <mergeCell ref="A1696:E1696"/>
    <mergeCell ref="A1685:E1685"/>
    <mergeCell ref="A1686:D1686"/>
    <mergeCell ref="A1687:D1687"/>
    <mergeCell ref="A1688:D1688"/>
    <mergeCell ref="A1689:E1689"/>
    <mergeCell ref="A1690:E1690"/>
    <mergeCell ref="A1679:E1679"/>
    <mergeCell ref="A1680:D1680"/>
    <mergeCell ref="A1681:E1681"/>
    <mergeCell ref="A1682:D1682"/>
    <mergeCell ref="A1683:E1683"/>
    <mergeCell ref="A1684:D1684"/>
    <mergeCell ref="A1673:E1673"/>
    <mergeCell ref="A1674:D1674"/>
    <mergeCell ref="A1675:E1675"/>
    <mergeCell ref="A1676:D1676"/>
    <mergeCell ref="A1677:E1677"/>
    <mergeCell ref="A1678:D1678"/>
    <mergeCell ref="A1667:D1667"/>
    <mergeCell ref="A1668:D1668"/>
    <mergeCell ref="A1669:D1669"/>
    <mergeCell ref="A1670:E1670"/>
    <mergeCell ref="A1671:D1671"/>
    <mergeCell ref="A1672:D1672"/>
    <mergeCell ref="A1661:D1661"/>
    <mergeCell ref="A1662:D1662"/>
    <mergeCell ref="A1663:D1663"/>
    <mergeCell ref="A1664:D1664"/>
    <mergeCell ref="A1665:D1665"/>
    <mergeCell ref="A1666:D1666"/>
    <mergeCell ref="A1655:D1655"/>
    <mergeCell ref="A1656:D1656"/>
    <mergeCell ref="A1657:D1657"/>
    <mergeCell ref="A1658:D1658"/>
    <mergeCell ref="A1659:D1659"/>
    <mergeCell ref="A1660:D1660"/>
    <mergeCell ref="A1649:D1649"/>
    <mergeCell ref="A1650:D1650"/>
    <mergeCell ref="A1651:D1651"/>
    <mergeCell ref="A1652:D1652"/>
    <mergeCell ref="A1653:D1653"/>
    <mergeCell ref="A1654:D1654"/>
    <mergeCell ref="A1643:D1643"/>
    <mergeCell ref="A1644:D1644"/>
    <mergeCell ref="A1645:D1645"/>
    <mergeCell ref="A1646:D1646"/>
    <mergeCell ref="A1647:D1647"/>
    <mergeCell ref="A1648:D1648"/>
    <mergeCell ref="A1637:D1637"/>
    <mergeCell ref="A1638:D1638"/>
    <mergeCell ref="A1639:D1639"/>
    <mergeCell ref="A1640:E1640"/>
    <mergeCell ref="A1641:D1641"/>
    <mergeCell ref="A1642:E1642"/>
    <mergeCell ref="A1631:D1631"/>
    <mergeCell ref="A1632:D1632"/>
    <mergeCell ref="A1633:D1633"/>
    <mergeCell ref="A1634:D1634"/>
    <mergeCell ref="A1635:D1635"/>
    <mergeCell ref="A1636:D1636"/>
    <mergeCell ref="A1625:D1625"/>
    <mergeCell ref="A1626:D1626"/>
    <mergeCell ref="A1627:E1627"/>
    <mergeCell ref="A1628:D1628"/>
    <mergeCell ref="A1629:E1629"/>
    <mergeCell ref="A1630:D1630"/>
    <mergeCell ref="A1619:D1619"/>
    <mergeCell ref="A1620:D1620"/>
    <mergeCell ref="A1621:D1621"/>
    <mergeCell ref="A1622:E1622"/>
    <mergeCell ref="A1623:D1623"/>
    <mergeCell ref="A1624:E1624"/>
    <mergeCell ref="A1613:D1613"/>
    <mergeCell ref="A1614:E1614"/>
    <mergeCell ref="A1615:D1615"/>
    <mergeCell ref="A1616:E1616"/>
    <mergeCell ref="A1617:D1617"/>
    <mergeCell ref="A1618:D1618"/>
    <mergeCell ref="A1607:D1607"/>
    <mergeCell ref="A1608:D1608"/>
    <mergeCell ref="A1609:D1609"/>
    <mergeCell ref="A1610:D1610"/>
    <mergeCell ref="A1611:D1611"/>
    <mergeCell ref="A1612:D1612"/>
    <mergeCell ref="A1601:D1601"/>
    <mergeCell ref="A1602:E1602"/>
    <mergeCell ref="A1603:D1603"/>
    <mergeCell ref="A1604:D1604"/>
    <mergeCell ref="A1605:D1605"/>
    <mergeCell ref="A1606:D1606"/>
    <mergeCell ref="A1595:E1595"/>
    <mergeCell ref="A1596:D1596"/>
    <mergeCell ref="A1597:E1597"/>
    <mergeCell ref="A1598:D1598"/>
    <mergeCell ref="A1599:D1599"/>
    <mergeCell ref="A1600:D1600"/>
    <mergeCell ref="A1589:D1589"/>
    <mergeCell ref="A1590:E1590"/>
    <mergeCell ref="A1591:D1591"/>
    <mergeCell ref="A1592:D1592"/>
    <mergeCell ref="A1593:E1593"/>
    <mergeCell ref="A1594:D1594"/>
    <mergeCell ref="A1583:D1583"/>
    <mergeCell ref="A1584:E1584"/>
    <mergeCell ref="A1585:D1585"/>
    <mergeCell ref="A1586:D1586"/>
    <mergeCell ref="A1587:D1587"/>
    <mergeCell ref="A1588:D1588"/>
    <mergeCell ref="A1577:D1577"/>
    <mergeCell ref="A1578:D1578"/>
    <mergeCell ref="A1579:E1579"/>
    <mergeCell ref="A1580:D1580"/>
    <mergeCell ref="A1581:E1581"/>
    <mergeCell ref="A1582:D1582"/>
    <mergeCell ref="A1571:D1571"/>
    <mergeCell ref="A1572:E1572"/>
    <mergeCell ref="A1573:D1573"/>
    <mergeCell ref="A1574:E1574"/>
    <mergeCell ref="A1575:D1575"/>
    <mergeCell ref="A1576:D1576"/>
    <mergeCell ref="A1565:E1565"/>
    <mergeCell ref="A1566:D1566"/>
    <mergeCell ref="A1567:E1567"/>
    <mergeCell ref="A1568:D1568"/>
    <mergeCell ref="A1569:D1569"/>
    <mergeCell ref="A1570:D1570"/>
    <mergeCell ref="A1559:E1559"/>
    <mergeCell ref="A1560:D1560"/>
    <mergeCell ref="A1561:E1561"/>
    <mergeCell ref="A1562:D1562"/>
    <mergeCell ref="A1563:E1563"/>
    <mergeCell ref="A1564:D1564"/>
    <mergeCell ref="A1553:D1553"/>
    <mergeCell ref="A1554:E1554"/>
    <mergeCell ref="A1555:D1555"/>
    <mergeCell ref="A1556:D1556"/>
    <mergeCell ref="A1557:E1557"/>
    <mergeCell ref="A1558:D1558"/>
    <mergeCell ref="A1547:D1547"/>
    <mergeCell ref="A1548:D1548"/>
    <mergeCell ref="A1549:E1549"/>
    <mergeCell ref="A1550:D1550"/>
    <mergeCell ref="A1551:D1551"/>
    <mergeCell ref="A1552:D1552"/>
    <mergeCell ref="A1541:D1541"/>
    <mergeCell ref="A1542:E1542"/>
    <mergeCell ref="A1543:D1543"/>
    <mergeCell ref="A1544:E1544"/>
    <mergeCell ref="A1545:D1545"/>
    <mergeCell ref="A1546:D1546"/>
    <mergeCell ref="A1535:D1535"/>
    <mergeCell ref="A1536:D1536"/>
    <mergeCell ref="A1537:D1537"/>
    <mergeCell ref="A1538:D1538"/>
    <mergeCell ref="A1539:D1539"/>
    <mergeCell ref="A1540:D1540"/>
    <mergeCell ref="A1529:E1529"/>
    <mergeCell ref="A1530:D1530"/>
    <mergeCell ref="A1531:E1531"/>
    <mergeCell ref="A1532:D1532"/>
    <mergeCell ref="A1533:D1533"/>
    <mergeCell ref="A1534:D1534"/>
    <mergeCell ref="A1523:D1523"/>
    <mergeCell ref="A1524:D1524"/>
    <mergeCell ref="A1525:E1525"/>
    <mergeCell ref="A1526:D1526"/>
    <mergeCell ref="A1527:E1527"/>
    <mergeCell ref="A1528:D1528"/>
    <mergeCell ref="A1517:D1517"/>
    <mergeCell ref="A1518:E1518"/>
    <mergeCell ref="A1519:D1519"/>
    <mergeCell ref="A1520:E1520"/>
    <mergeCell ref="A1521:D1521"/>
    <mergeCell ref="A1522:D1522"/>
    <mergeCell ref="A1511:D1511"/>
    <mergeCell ref="A1512:E1512"/>
    <mergeCell ref="A1513:D1513"/>
    <mergeCell ref="A1514:E1514"/>
    <mergeCell ref="A1515:D1515"/>
    <mergeCell ref="A1516:E1516"/>
    <mergeCell ref="A1505:D1505"/>
    <mergeCell ref="A1506:D1506"/>
    <mergeCell ref="A1507:D1507"/>
    <mergeCell ref="A1508:E1508"/>
    <mergeCell ref="A1509:D1509"/>
    <mergeCell ref="A1510:D1510"/>
    <mergeCell ref="A1499:E1499"/>
    <mergeCell ref="A1500:D1500"/>
    <mergeCell ref="A1501:E1501"/>
    <mergeCell ref="A1502:D1502"/>
    <mergeCell ref="A1503:D1503"/>
    <mergeCell ref="A1504:D1504"/>
    <mergeCell ref="A1493:D1493"/>
    <mergeCell ref="A1494:E1494"/>
    <mergeCell ref="A1495:D1495"/>
    <mergeCell ref="A1496:E1496"/>
    <mergeCell ref="A1497:D1497"/>
    <mergeCell ref="A1498:D1498"/>
    <mergeCell ref="A1487:D1487"/>
    <mergeCell ref="A1488:D1488"/>
    <mergeCell ref="A1489:E1489"/>
    <mergeCell ref="A1490:D1490"/>
    <mergeCell ref="A1491:D1491"/>
    <mergeCell ref="A1492:D1492"/>
    <mergeCell ref="A1481:D1481"/>
    <mergeCell ref="A1482:E1482"/>
    <mergeCell ref="A1483:D1483"/>
    <mergeCell ref="A1484:E1484"/>
    <mergeCell ref="A1485:D1485"/>
    <mergeCell ref="A1486:E1486"/>
    <mergeCell ref="A1475:D1475"/>
    <mergeCell ref="A1476:D1476"/>
    <mergeCell ref="A1477:D1477"/>
    <mergeCell ref="A1478:D1478"/>
    <mergeCell ref="A1479:D1479"/>
    <mergeCell ref="A1480:E1480"/>
    <mergeCell ref="A1469:E1469"/>
    <mergeCell ref="A1470:D1470"/>
    <mergeCell ref="A1471:E1471"/>
    <mergeCell ref="A1472:D1472"/>
    <mergeCell ref="A1473:D1473"/>
    <mergeCell ref="A1474:D1474"/>
    <mergeCell ref="A1463:E1463"/>
    <mergeCell ref="A1464:D1464"/>
    <mergeCell ref="A1465:E1465"/>
    <mergeCell ref="A1466:D1466"/>
    <mergeCell ref="A1467:D1467"/>
    <mergeCell ref="A1468:D1468"/>
    <mergeCell ref="A1457:E1457"/>
    <mergeCell ref="A1458:D1458"/>
    <mergeCell ref="A1459:E1459"/>
    <mergeCell ref="A1460:D1460"/>
    <mergeCell ref="A1461:D1461"/>
    <mergeCell ref="A1462:D1462"/>
    <mergeCell ref="A1451:E1451"/>
    <mergeCell ref="A1452:D1452"/>
    <mergeCell ref="A1453:E1453"/>
    <mergeCell ref="A1454:D1454"/>
    <mergeCell ref="A1455:E1455"/>
    <mergeCell ref="A1456:D1456"/>
    <mergeCell ref="A1445:E1445"/>
    <mergeCell ref="A1446:D1446"/>
    <mergeCell ref="A1447:D1447"/>
    <mergeCell ref="A1448:E1448"/>
    <mergeCell ref="A1449:D1449"/>
    <mergeCell ref="A1450:D1450"/>
    <mergeCell ref="A1439:E1439"/>
    <mergeCell ref="A1440:D1440"/>
    <mergeCell ref="A1441:D1441"/>
    <mergeCell ref="A1442:D1442"/>
    <mergeCell ref="A1443:E1443"/>
    <mergeCell ref="A1444:D1444"/>
    <mergeCell ref="A1433:E1433"/>
    <mergeCell ref="A1434:D1434"/>
    <mergeCell ref="A1435:D1435"/>
    <mergeCell ref="A1436:D1436"/>
    <mergeCell ref="A1437:D1437"/>
    <mergeCell ref="A1438:D1438"/>
    <mergeCell ref="A1427:E1427"/>
    <mergeCell ref="A1428:D1428"/>
    <mergeCell ref="A1429:D1429"/>
    <mergeCell ref="A1430:D1430"/>
    <mergeCell ref="A1431:D1431"/>
    <mergeCell ref="A1432:D1432"/>
    <mergeCell ref="A1421:D1421"/>
    <mergeCell ref="A1422:D1422"/>
    <mergeCell ref="A1423:E1423"/>
    <mergeCell ref="A1424:D1424"/>
    <mergeCell ref="A1425:E1425"/>
    <mergeCell ref="A1426:D1426"/>
    <mergeCell ref="A1415:D1415"/>
    <mergeCell ref="A1416:D1416"/>
    <mergeCell ref="A1417:D1417"/>
    <mergeCell ref="A1418:D1418"/>
    <mergeCell ref="A1419:E1419"/>
    <mergeCell ref="A1420:D1420"/>
    <mergeCell ref="A1409:D1409"/>
    <mergeCell ref="A1410:D1410"/>
    <mergeCell ref="A1411:D1411"/>
    <mergeCell ref="A1412:D1412"/>
    <mergeCell ref="A1413:E1413"/>
    <mergeCell ref="A1414:D1414"/>
    <mergeCell ref="A1403:D1403"/>
    <mergeCell ref="A1404:E1404"/>
    <mergeCell ref="A1405:D1405"/>
    <mergeCell ref="A1406:D1406"/>
    <mergeCell ref="A1407:E1407"/>
    <mergeCell ref="A1408:D1408"/>
    <mergeCell ref="A1397:D1397"/>
    <mergeCell ref="A1398:E1398"/>
    <mergeCell ref="A1399:D1399"/>
    <mergeCell ref="A1400:E1400"/>
    <mergeCell ref="A1401:D1401"/>
    <mergeCell ref="A1402:E1402"/>
    <mergeCell ref="A1391:D1391"/>
    <mergeCell ref="A1392:D1392"/>
    <mergeCell ref="A1393:D1393"/>
    <mergeCell ref="A1394:E1394"/>
    <mergeCell ref="A1395:D1395"/>
    <mergeCell ref="A1396:D1396"/>
    <mergeCell ref="A1385:E1385"/>
    <mergeCell ref="A1386:D1386"/>
    <mergeCell ref="A1387:E1387"/>
    <mergeCell ref="A1388:D1388"/>
    <mergeCell ref="A1389:D1389"/>
    <mergeCell ref="A1390:E1390"/>
    <mergeCell ref="A1379:E1379"/>
    <mergeCell ref="A1380:D1380"/>
    <mergeCell ref="A1381:D1381"/>
    <mergeCell ref="A1382:D1382"/>
    <mergeCell ref="A1383:E1383"/>
    <mergeCell ref="A1384:D1384"/>
    <mergeCell ref="A1373:D1373"/>
    <mergeCell ref="A1374:D1374"/>
    <mergeCell ref="A1375:E1375"/>
    <mergeCell ref="A1376:D1376"/>
    <mergeCell ref="A1377:E1377"/>
    <mergeCell ref="A1378:D1378"/>
    <mergeCell ref="A1367:D1367"/>
    <mergeCell ref="A1368:E1368"/>
    <mergeCell ref="A1369:D1369"/>
    <mergeCell ref="A1370:E1370"/>
    <mergeCell ref="A1371:D1371"/>
    <mergeCell ref="A1372:E1372"/>
    <mergeCell ref="A1361:D1361"/>
    <mergeCell ref="A1362:D1362"/>
    <mergeCell ref="A1363:D1363"/>
    <mergeCell ref="A1364:D1364"/>
    <mergeCell ref="A1365:E1365"/>
    <mergeCell ref="A1366:D1366"/>
    <mergeCell ref="A1355:D1355"/>
    <mergeCell ref="A1356:D1356"/>
    <mergeCell ref="A1357:D1357"/>
    <mergeCell ref="A1358:D1358"/>
    <mergeCell ref="A1359:D1359"/>
    <mergeCell ref="A1360:D1360"/>
    <mergeCell ref="A1349:D1349"/>
    <mergeCell ref="A1350:E1350"/>
    <mergeCell ref="A1351:D1351"/>
    <mergeCell ref="A1352:D1352"/>
    <mergeCell ref="A1353:E1353"/>
    <mergeCell ref="A1354:D1354"/>
    <mergeCell ref="A1343:E1343"/>
    <mergeCell ref="A1344:D1344"/>
    <mergeCell ref="A1345:D1345"/>
    <mergeCell ref="A1346:D1346"/>
    <mergeCell ref="A1347:D1347"/>
    <mergeCell ref="A1348:E1348"/>
    <mergeCell ref="A1337:D1337"/>
    <mergeCell ref="A1338:D1338"/>
    <mergeCell ref="A1339:E1339"/>
    <mergeCell ref="A1340:D1340"/>
    <mergeCell ref="A1341:E1341"/>
    <mergeCell ref="A1342:D1342"/>
    <mergeCell ref="A1331:D1331"/>
    <mergeCell ref="A1332:E1332"/>
    <mergeCell ref="A1333:D1333"/>
    <mergeCell ref="A1334:E1334"/>
    <mergeCell ref="A1335:D1335"/>
    <mergeCell ref="A1336:D1336"/>
    <mergeCell ref="A1325:D1325"/>
    <mergeCell ref="A1326:E1326"/>
    <mergeCell ref="A1327:D1327"/>
    <mergeCell ref="A1328:E1328"/>
    <mergeCell ref="A1329:D1329"/>
    <mergeCell ref="A1330:D1330"/>
    <mergeCell ref="A1319:D1319"/>
    <mergeCell ref="A1320:E1320"/>
    <mergeCell ref="A1321:D1321"/>
    <mergeCell ref="A1322:E1322"/>
    <mergeCell ref="A1323:D1323"/>
    <mergeCell ref="A1324:E1324"/>
    <mergeCell ref="A1313:D1313"/>
    <mergeCell ref="A1314:D1314"/>
    <mergeCell ref="A1315:D1315"/>
    <mergeCell ref="A1316:D1316"/>
    <mergeCell ref="A1317:D1317"/>
    <mergeCell ref="A1318:E1318"/>
    <mergeCell ref="A1307:E1307"/>
    <mergeCell ref="A1308:D1308"/>
    <mergeCell ref="A1309:E1309"/>
    <mergeCell ref="A1310:D1310"/>
    <mergeCell ref="A1311:E1311"/>
    <mergeCell ref="A1312:D1312"/>
    <mergeCell ref="A1301:D1301"/>
    <mergeCell ref="A1302:D1302"/>
    <mergeCell ref="A1303:E1303"/>
    <mergeCell ref="A1304:D1304"/>
    <mergeCell ref="A1305:D1305"/>
    <mergeCell ref="A1306:D1306"/>
    <mergeCell ref="A1295:D1295"/>
    <mergeCell ref="A1296:E1296"/>
    <mergeCell ref="A1297:D1297"/>
    <mergeCell ref="A1298:D1298"/>
    <mergeCell ref="A1299:D1299"/>
    <mergeCell ref="A1300:E1300"/>
    <mergeCell ref="A1289:D1289"/>
    <mergeCell ref="A1290:D1290"/>
    <mergeCell ref="A1291:D1291"/>
    <mergeCell ref="A1292:E1292"/>
    <mergeCell ref="A1293:D1293"/>
    <mergeCell ref="A1294:E1294"/>
    <mergeCell ref="A1283:E1283"/>
    <mergeCell ref="A1284:D1284"/>
    <mergeCell ref="A1285:D1285"/>
    <mergeCell ref="A1286:E1286"/>
    <mergeCell ref="A1287:D1287"/>
    <mergeCell ref="A1288:E1288"/>
    <mergeCell ref="A1277:D1277"/>
    <mergeCell ref="A1278:D1278"/>
    <mergeCell ref="A1279:D1279"/>
    <mergeCell ref="A1280:D1280"/>
    <mergeCell ref="A1281:E1281"/>
    <mergeCell ref="A1282:D1282"/>
    <mergeCell ref="A1271:D1271"/>
    <mergeCell ref="A1272:D1272"/>
    <mergeCell ref="A1273:D1273"/>
    <mergeCell ref="A1274:D1274"/>
    <mergeCell ref="A1275:D1275"/>
    <mergeCell ref="A1276:D1276"/>
    <mergeCell ref="A1265:D1265"/>
    <mergeCell ref="A1266:E1266"/>
    <mergeCell ref="A1267:D1267"/>
    <mergeCell ref="A1268:E1268"/>
    <mergeCell ref="A1269:D1269"/>
    <mergeCell ref="A1270:D1270"/>
    <mergeCell ref="A1259:D1259"/>
    <mergeCell ref="A1260:E1260"/>
    <mergeCell ref="A1261:D1261"/>
    <mergeCell ref="A1262:E1262"/>
    <mergeCell ref="A1263:D1263"/>
    <mergeCell ref="A1264:E1264"/>
    <mergeCell ref="A1253:D1253"/>
    <mergeCell ref="A1254:D1254"/>
    <mergeCell ref="A1255:E1255"/>
    <mergeCell ref="A1256:D1256"/>
    <mergeCell ref="A1257:D1257"/>
    <mergeCell ref="A1258:D1258"/>
    <mergeCell ref="A1247:E1247"/>
    <mergeCell ref="A1248:D1248"/>
    <mergeCell ref="A1249:E1249"/>
    <mergeCell ref="A1250:D1250"/>
    <mergeCell ref="A1251:D1251"/>
    <mergeCell ref="A1252:E1252"/>
    <mergeCell ref="A1241:D1241"/>
    <mergeCell ref="A1242:D1242"/>
    <mergeCell ref="A1243:E1243"/>
    <mergeCell ref="A1244:D1244"/>
    <mergeCell ref="A1245:D1245"/>
    <mergeCell ref="A1246:D1246"/>
    <mergeCell ref="A1235:D1235"/>
    <mergeCell ref="A1236:E1236"/>
    <mergeCell ref="A1237:D1237"/>
    <mergeCell ref="A1238:E1238"/>
    <mergeCell ref="A1239:D1239"/>
    <mergeCell ref="A1240:E1240"/>
    <mergeCell ref="A1229:D1229"/>
    <mergeCell ref="A1230:E1230"/>
    <mergeCell ref="A1231:D1231"/>
    <mergeCell ref="A1232:E1232"/>
    <mergeCell ref="A1233:D1233"/>
    <mergeCell ref="A1234:E1234"/>
    <mergeCell ref="A1223:D1223"/>
    <mergeCell ref="A1224:D1224"/>
    <mergeCell ref="A1225:D1225"/>
    <mergeCell ref="A1226:E1226"/>
    <mergeCell ref="A1227:D1227"/>
    <mergeCell ref="A1228:E1228"/>
    <mergeCell ref="A1217:D1217"/>
    <mergeCell ref="A1218:D1218"/>
    <mergeCell ref="A1219:E1219"/>
    <mergeCell ref="A1220:D1220"/>
    <mergeCell ref="A1221:E1221"/>
    <mergeCell ref="A1222:D1222"/>
    <mergeCell ref="A1211:D1211"/>
    <mergeCell ref="A1212:E1212"/>
    <mergeCell ref="A1213:D1213"/>
    <mergeCell ref="A1214:E1214"/>
    <mergeCell ref="A1215:D1215"/>
    <mergeCell ref="A1216:E1216"/>
    <mergeCell ref="A1205:D1205"/>
    <mergeCell ref="A1206:E1206"/>
    <mergeCell ref="A1207:D1207"/>
    <mergeCell ref="A1208:E1208"/>
    <mergeCell ref="A1209:D1209"/>
    <mergeCell ref="A1210:E1210"/>
    <mergeCell ref="A1199:E1199"/>
    <mergeCell ref="A1200:D1200"/>
    <mergeCell ref="A1201:D1201"/>
    <mergeCell ref="A1202:E1202"/>
    <mergeCell ref="A1203:D1203"/>
    <mergeCell ref="A1204:D1204"/>
    <mergeCell ref="A1193:D1193"/>
    <mergeCell ref="A1194:D1194"/>
    <mergeCell ref="A1195:D1195"/>
    <mergeCell ref="A1196:D1196"/>
    <mergeCell ref="A1197:E1197"/>
    <mergeCell ref="A1198:D1198"/>
    <mergeCell ref="A1187:D1187"/>
    <mergeCell ref="A1188:D1188"/>
    <mergeCell ref="A1189:E1189"/>
    <mergeCell ref="A1190:D1190"/>
    <mergeCell ref="A1191:D1191"/>
    <mergeCell ref="A1192:D1192"/>
    <mergeCell ref="A1181:D1181"/>
    <mergeCell ref="A1182:E1182"/>
    <mergeCell ref="A1183:D1183"/>
    <mergeCell ref="A1184:E1184"/>
    <mergeCell ref="A1185:D1185"/>
    <mergeCell ref="A1186:E1186"/>
    <mergeCell ref="A1175:E1175"/>
    <mergeCell ref="A1176:D1176"/>
    <mergeCell ref="A1177:E1177"/>
    <mergeCell ref="A1178:D1178"/>
    <mergeCell ref="A1179:D1179"/>
    <mergeCell ref="A1180:D1180"/>
    <mergeCell ref="A1169:D1169"/>
    <mergeCell ref="A1170:E1170"/>
    <mergeCell ref="A1171:D1171"/>
    <mergeCell ref="A1172:D1172"/>
    <mergeCell ref="A1173:D1173"/>
    <mergeCell ref="A1174:D1174"/>
    <mergeCell ref="A1163:D1163"/>
    <mergeCell ref="A1164:D1164"/>
    <mergeCell ref="A1165:D1165"/>
    <mergeCell ref="A1166:D1166"/>
    <mergeCell ref="A1167:D1167"/>
    <mergeCell ref="A1168:E1168"/>
    <mergeCell ref="A1157:D1157"/>
    <mergeCell ref="A1158:D1158"/>
    <mergeCell ref="A1159:D1159"/>
    <mergeCell ref="A1160:E1160"/>
    <mergeCell ref="A1161:D1161"/>
    <mergeCell ref="A1162:E1162"/>
    <mergeCell ref="A1151:E1151"/>
    <mergeCell ref="A1152:D1152"/>
    <mergeCell ref="A1153:E1153"/>
    <mergeCell ref="A1154:D1154"/>
    <mergeCell ref="A1155:E1155"/>
    <mergeCell ref="A1156:D1156"/>
    <mergeCell ref="A1145:D1145"/>
    <mergeCell ref="A1146:E1146"/>
    <mergeCell ref="A1147:D1147"/>
    <mergeCell ref="A1148:D1148"/>
    <mergeCell ref="A1149:E1149"/>
    <mergeCell ref="A1150:D1150"/>
    <mergeCell ref="A1139:E1139"/>
    <mergeCell ref="A1140:D1140"/>
    <mergeCell ref="A1141:D1141"/>
    <mergeCell ref="A1142:E1142"/>
    <mergeCell ref="A1143:D1143"/>
    <mergeCell ref="A1144:E1144"/>
    <mergeCell ref="A1133:D1133"/>
    <mergeCell ref="A1134:E1134"/>
    <mergeCell ref="A1135:D1135"/>
    <mergeCell ref="A1136:D1136"/>
    <mergeCell ref="A1137:E1137"/>
    <mergeCell ref="A1138:D1138"/>
    <mergeCell ref="A1127:D1127"/>
    <mergeCell ref="A1128:D1128"/>
    <mergeCell ref="A1129:D1129"/>
    <mergeCell ref="A1130:E1130"/>
    <mergeCell ref="A1131:D1131"/>
    <mergeCell ref="A1132:E1132"/>
    <mergeCell ref="A1121:D1121"/>
    <mergeCell ref="A1122:D1122"/>
    <mergeCell ref="A1123:D1123"/>
    <mergeCell ref="A1124:D1124"/>
    <mergeCell ref="A1125:E1125"/>
    <mergeCell ref="A1126:D1126"/>
    <mergeCell ref="A1115:E1115"/>
    <mergeCell ref="A1116:D1116"/>
    <mergeCell ref="A1117:D1117"/>
    <mergeCell ref="A1118:D1118"/>
    <mergeCell ref="A1119:D1119"/>
    <mergeCell ref="A1120:E1120"/>
    <mergeCell ref="A1109:E1109"/>
    <mergeCell ref="A1110:D1110"/>
    <mergeCell ref="A1111:D1111"/>
    <mergeCell ref="A1112:D1112"/>
    <mergeCell ref="A1113:D1113"/>
    <mergeCell ref="A1114:D1114"/>
    <mergeCell ref="A1103:D1103"/>
    <mergeCell ref="A1104:E1104"/>
    <mergeCell ref="A1105:D1105"/>
    <mergeCell ref="A1106:D1106"/>
    <mergeCell ref="A1107:E1107"/>
    <mergeCell ref="A1108:D1108"/>
    <mergeCell ref="A1097:D1097"/>
    <mergeCell ref="A1098:D1098"/>
    <mergeCell ref="A1099:D1099"/>
    <mergeCell ref="A1100:D1100"/>
    <mergeCell ref="A1101:D1101"/>
    <mergeCell ref="A1102:D1102"/>
    <mergeCell ref="A1091:D1091"/>
    <mergeCell ref="A1092:D1092"/>
    <mergeCell ref="A1093:E1093"/>
    <mergeCell ref="A1094:D1094"/>
    <mergeCell ref="A1095:D1095"/>
    <mergeCell ref="A1096:D1096"/>
    <mergeCell ref="A1085:D1085"/>
    <mergeCell ref="A1086:D1086"/>
    <mergeCell ref="A1087:E1087"/>
    <mergeCell ref="A1088:D1088"/>
    <mergeCell ref="A1089:D1089"/>
    <mergeCell ref="A1090:D1090"/>
    <mergeCell ref="A1079:D1079"/>
    <mergeCell ref="A1080:D1080"/>
    <mergeCell ref="A1081:D1081"/>
    <mergeCell ref="A1082:E1082"/>
    <mergeCell ref="A1083:D1083"/>
    <mergeCell ref="A1084:D1084"/>
    <mergeCell ref="A1073:D1073"/>
    <mergeCell ref="A1074:D1074"/>
    <mergeCell ref="A1075:D1075"/>
    <mergeCell ref="A1076:E1076"/>
    <mergeCell ref="A1077:D1077"/>
    <mergeCell ref="A1078:D1078"/>
    <mergeCell ref="A1067:D1067"/>
    <mergeCell ref="A1068:D1068"/>
    <mergeCell ref="A1069:E1069"/>
    <mergeCell ref="A1070:D1070"/>
    <mergeCell ref="A1071:D1071"/>
    <mergeCell ref="A1072:E1072"/>
    <mergeCell ref="A1061:D1061"/>
    <mergeCell ref="A1062:D1062"/>
    <mergeCell ref="A1063:D1063"/>
    <mergeCell ref="A1064:D1064"/>
    <mergeCell ref="A1065:D1065"/>
    <mergeCell ref="A1066:E1066"/>
    <mergeCell ref="A1055:D1055"/>
    <mergeCell ref="A1056:E1056"/>
    <mergeCell ref="A1057:D1057"/>
    <mergeCell ref="A1058:E1058"/>
    <mergeCell ref="A1059:D1059"/>
    <mergeCell ref="A1060:E1060"/>
    <mergeCell ref="A1049:D1049"/>
    <mergeCell ref="A1050:E1050"/>
    <mergeCell ref="A1051:D1051"/>
    <mergeCell ref="A1052:D1052"/>
    <mergeCell ref="A1053:D1053"/>
    <mergeCell ref="A1054:D1054"/>
    <mergeCell ref="A1043:D1043"/>
    <mergeCell ref="A1044:D1044"/>
    <mergeCell ref="A1045:D1045"/>
    <mergeCell ref="A1046:D1046"/>
    <mergeCell ref="A1047:D1047"/>
    <mergeCell ref="A1048:D1048"/>
    <mergeCell ref="A1037:D1037"/>
    <mergeCell ref="A1038:D1038"/>
    <mergeCell ref="A1039:D1039"/>
    <mergeCell ref="A1040:D1040"/>
    <mergeCell ref="A1041:D1041"/>
    <mergeCell ref="A1042:D1042"/>
    <mergeCell ref="A1031:D1031"/>
    <mergeCell ref="A1032:E1032"/>
    <mergeCell ref="A1033:D1033"/>
    <mergeCell ref="A1034:D1034"/>
    <mergeCell ref="A1035:D1035"/>
    <mergeCell ref="A1036:D1036"/>
    <mergeCell ref="A1025:E1025"/>
    <mergeCell ref="A1026:D1026"/>
    <mergeCell ref="A1027:D1027"/>
    <mergeCell ref="A1028:D1028"/>
    <mergeCell ref="A1029:D1029"/>
    <mergeCell ref="A1030:E1030"/>
    <mergeCell ref="A1019:D1019"/>
    <mergeCell ref="A1020:D1020"/>
    <mergeCell ref="A1021:E1021"/>
    <mergeCell ref="A1022:D1022"/>
    <mergeCell ref="A1023:E1023"/>
    <mergeCell ref="A1024:D1024"/>
    <mergeCell ref="A1013:D1013"/>
    <mergeCell ref="A1014:D1014"/>
    <mergeCell ref="A1015:D1015"/>
    <mergeCell ref="A1016:D1016"/>
    <mergeCell ref="A1017:D1017"/>
    <mergeCell ref="A1018:D1018"/>
    <mergeCell ref="A1007:D1007"/>
    <mergeCell ref="A1008:D1008"/>
    <mergeCell ref="A1009:D1009"/>
    <mergeCell ref="A1010:D1010"/>
    <mergeCell ref="A1011:D1011"/>
    <mergeCell ref="A1012:D1012"/>
    <mergeCell ref="A1001:D1001"/>
    <mergeCell ref="A1002:D1002"/>
    <mergeCell ref="A1003:D1003"/>
    <mergeCell ref="A1004:D1004"/>
    <mergeCell ref="A1005:E1005"/>
    <mergeCell ref="A1006:D1006"/>
    <mergeCell ref="A995:E995"/>
    <mergeCell ref="A996:D996"/>
    <mergeCell ref="A997:D997"/>
    <mergeCell ref="A998:D998"/>
    <mergeCell ref="A999:D999"/>
    <mergeCell ref="A1000:D1000"/>
    <mergeCell ref="A989:E989"/>
    <mergeCell ref="A990:D990"/>
    <mergeCell ref="A991:E991"/>
    <mergeCell ref="A992:D992"/>
    <mergeCell ref="A993:E993"/>
    <mergeCell ref="A994:D994"/>
    <mergeCell ref="A983:E983"/>
    <mergeCell ref="A984:D984"/>
    <mergeCell ref="A985:E985"/>
    <mergeCell ref="A986:D986"/>
    <mergeCell ref="A987:E987"/>
    <mergeCell ref="A988:D988"/>
    <mergeCell ref="A977:D977"/>
    <mergeCell ref="A978:D978"/>
    <mergeCell ref="A979:E979"/>
    <mergeCell ref="A980:D980"/>
    <mergeCell ref="A981:E981"/>
    <mergeCell ref="A982:D982"/>
    <mergeCell ref="A971:E971"/>
    <mergeCell ref="A972:D972"/>
    <mergeCell ref="A973:D973"/>
    <mergeCell ref="A974:E974"/>
    <mergeCell ref="A975:D975"/>
    <mergeCell ref="A976:D976"/>
    <mergeCell ref="A965:D965"/>
    <mergeCell ref="A966:D966"/>
    <mergeCell ref="A967:D967"/>
    <mergeCell ref="A968:D968"/>
    <mergeCell ref="A969:D969"/>
    <mergeCell ref="A970:D970"/>
    <mergeCell ref="A959:D959"/>
    <mergeCell ref="A960:D960"/>
    <mergeCell ref="A961:D961"/>
    <mergeCell ref="A962:D962"/>
    <mergeCell ref="A963:D963"/>
    <mergeCell ref="A964:D964"/>
    <mergeCell ref="A953:E953"/>
    <mergeCell ref="A954:D954"/>
    <mergeCell ref="A955:D955"/>
    <mergeCell ref="A956:D956"/>
    <mergeCell ref="A957:D957"/>
    <mergeCell ref="A958:D958"/>
    <mergeCell ref="A947:E947"/>
    <mergeCell ref="A948:E948"/>
    <mergeCell ref="A949:D949"/>
    <mergeCell ref="A950:E950"/>
    <mergeCell ref="A951:D951"/>
    <mergeCell ref="A952:E952"/>
    <mergeCell ref="A941:D941"/>
    <mergeCell ref="A942:D942"/>
    <mergeCell ref="A943:D943"/>
    <mergeCell ref="A944:D944"/>
    <mergeCell ref="A945:D945"/>
    <mergeCell ref="A946:D946"/>
    <mergeCell ref="A935:D935"/>
    <mergeCell ref="A936:D936"/>
    <mergeCell ref="A937:D937"/>
    <mergeCell ref="A938:D938"/>
    <mergeCell ref="A939:D939"/>
    <mergeCell ref="A940:D940"/>
    <mergeCell ref="A929:D929"/>
    <mergeCell ref="A930:D930"/>
    <mergeCell ref="A931:D931"/>
    <mergeCell ref="A932:D932"/>
    <mergeCell ref="A933:D933"/>
    <mergeCell ref="A934:D934"/>
    <mergeCell ref="A923:D923"/>
    <mergeCell ref="A924:D924"/>
    <mergeCell ref="A925:D925"/>
    <mergeCell ref="A926:D926"/>
    <mergeCell ref="A927:D927"/>
    <mergeCell ref="A928:D928"/>
    <mergeCell ref="A917:D917"/>
    <mergeCell ref="A918:D918"/>
    <mergeCell ref="A919:D919"/>
    <mergeCell ref="A920:D920"/>
    <mergeCell ref="A921:D921"/>
    <mergeCell ref="A922:D922"/>
    <mergeCell ref="A911:D911"/>
    <mergeCell ref="A912:D912"/>
    <mergeCell ref="A913:E913"/>
    <mergeCell ref="A914:D914"/>
    <mergeCell ref="A915:D915"/>
    <mergeCell ref="A916:D916"/>
    <mergeCell ref="A905:D905"/>
    <mergeCell ref="A906:D906"/>
    <mergeCell ref="A907:D907"/>
    <mergeCell ref="A908:D908"/>
    <mergeCell ref="A909:D909"/>
    <mergeCell ref="A910:D910"/>
    <mergeCell ref="A899:D899"/>
    <mergeCell ref="A900:D900"/>
    <mergeCell ref="A901:D901"/>
    <mergeCell ref="A902:D902"/>
    <mergeCell ref="A903:D903"/>
    <mergeCell ref="A904:D904"/>
    <mergeCell ref="A893:D893"/>
    <mergeCell ref="A894:D894"/>
    <mergeCell ref="A895:D895"/>
    <mergeCell ref="A896:D896"/>
    <mergeCell ref="A897:D897"/>
    <mergeCell ref="A898:D898"/>
    <mergeCell ref="A887:D887"/>
    <mergeCell ref="A888:D888"/>
    <mergeCell ref="A889:D889"/>
    <mergeCell ref="A890:D890"/>
    <mergeCell ref="A891:D891"/>
    <mergeCell ref="A892:D892"/>
    <mergeCell ref="A881:D881"/>
    <mergeCell ref="A882:D882"/>
    <mergeCell ref="A883:E883"/>
    <mergeCell ref="A884:D884"/>
    <mergeCell ref="A885:D885"/>
    <mergeCell ref="A886:D886"/>
    <mergeCell ref="A875:D875"/>
    <mergeCell ref="A876:D876"/>
    <mergeCell ref="A877:D877"/>
    <mergeCell ref="A878:D878"/>
    <mergeCell ref="A879:D879"/>
    <mergeCell ref="A880:E880"/>
    <mergeCell ref="A869:D869"/>
    <mergeCell ref="A870:D870"/>
    <mergeCell ref="A871:D871"/>
    <mergeCell ref="A872:D872"/>
    <mergeCell ref="A873:D873"/>
    <mergeCell ref="A874:D874"/>
    <mergeCell ref="A863:E863"/>
    <mergeCell ref="A864:D864"/>
    <mergeCell ref="A865:D865"/>
    <mergeCell ref="A866:D866"/>
    <mergeCell ref="A867:E867"/>
    <mergeCell ref="A868:D868"/>
    <mergeCell ref="A857:D857"/>
    <mergeCell ref="A858:E858"/>
    <mergeCell ref="A859:D859"/>
    <mergeCell ref="A860:D860"/>
    <mergeCell ref="A861:D861"/>
    <mergeCell ref="A862:D862"/>
    <mergeCell ref="A851:D851"/>
    <mergeCell ref="A852:D852"/>
    <mergeCell ref="A853:D853"/>
    <mergeCell ref="A854:E854"/>
    <mergeCell ref="A855:D855"/>
    <mergeCell ref="A856:E856"/>
    <mergeCell ref="A845:D845"/>
    <mergeCell ref="A846:D846"/>
    <mergeCell ref="A847:D847"/>
    <mergeCell ref="A848:D848"/>
    <mergeCell ref="A849:D849"/>
    <mergeCell ref="A850:E850"/>
    <mergeCell ref="A839:D839"/>
    <mergeCell ref="A840:D840"/>
    <mergeCell ref="A841:D841"/>
    <mergeCell ref="A842:D842"/>
    <mergeCell ref="A843:D843"/>
    <mergeCell ref="A844:D844"/>
    <mergeCell ref="A833:D833"/>
    <mergeCell ref="A834:D834"/>
    <mergeCell ref="A835:E835"/>
    <mergeCell ref="A836:D836"/>
    <mergeCell ref="A837:D837"/>
    <mergeCell ref="A838:E838"/>
    <mergeCell ref="A827:E827"/>
    <mergeCell ref="A828:D828"/>
    <mergeCell ref="A829:E829"/>
    <mergeCell ref="A830:D830"/>
    <mergeCell ref="A831:E831"/>
    <mergeCell ref="A832:D832"/>
    <mergeCell ref="A821:D821"/>
    <mergeCell ref="A822:E822"/>
    <mergeCell ref="A823:D823"/>
    <mergeCell ref="A824:E824"/>
    <mergeCell ref="A825:D825"/>
    <mergeCell ref="A826:D826"/>
    <mergeCell ref="A815:D815"/>
    <mergeCell ref="A816:E816"/>
    <mergeCell ref="A817:D817"/>
    <mergeCell ref="A818:E818"/>
    <mergeCell ref="A819:D819"/>
    <mergeCell ref="A820:E820"/>
    <mergeCell ref="A809:D809"/>
    <mergeCell ref="A810:D810"/>
    <mergeCell ref="A811:E811"/>
    <mergeCell ref="A812:D812"/>
    <mergeCell ref="A813:D813"/>
    <mergeCell ref="A814:D814"/>
    <mergeCell ref="A803:D803"/>
    <mergeCell ref="A804:E804"/>
    <mergeCell ref="A805:E805"/>
    <mergeCell ref="A806:D806"/>
    <mergeCell ref="A807:E807"/>
    <mergeCell ref="A808:E808"/>
    <mergeCell ref="A797:D797"/>
    <mergeCell ref="A798:E798"/>
    <mergeCell ref="A799:D799"/>
    <mergeCell ref="A800:E800"/>
    <mergeCell ref="A801:E801"/>
    <mergeCell ref="A802:D802"/>
    <mergeCell ref="A791:E791"/>
    <mergeCell ref="A792:D792"/>
    <mergeCell ref="A793:E793"/>
    <mergeCell ref="A794:D794"/>
    <mergeCell ref="A795:E795"/>
    <mergeCell ref="A796:E796"/>
    <mergeCell ref="A785:E785"/>
    <mergeCell ref="A786:D786"/>
    <mergeCell ref="A787:E787"/>
    <mergeCell ref="A788:D788"/>
    <mergeCell ref="A789:E789"/>
    <mergeCell ref="A790:D790"/>
    <mergeCell ref="A779:E779"/>
    <mergeCell ref="A780:D780"/>
    <mergeCell ref="A781:E781"/>
    <mergeCell ref="A782:D782"/>
    <mergeCell ref="A783:E783"/>
    <mergeCell ref="A784:D784"/>
    <mergeCell ref="A773:D773"/>
    <mergeCell ref="A774:E774"/>
    <mergeCell ref="A775:E775"/>
    <mergeCell ref="A776:D776"/>
    <mergeCell ref="A777:E777"/>
    <mergeCell ref="A778:D778"/>
    <mergeCell ref="A767:E767"/>
    <mergeCell ref="A768:D768"/>
    <mergeCell ref="A769:E769"/>
    <mergeCell ref="A770:D770"/>
    <mergeCell ref="A771:D771"/>
    <mergeCell ref="A772:E772"/>
    <mergeCell ref="A761:D761"/>
    <mergeCell ref="A762:D762"/>
    <mergeCell ref="A763:D763"/>
    <mergeCell ref="A764:E764"/>
    <mergeCell ref="A765:D765"/>
    <mergeCell ref="A766:D766"/>
    <mergeCell ref="A755:D755"/>
    <mergeCell ref="A756:E756"/>
    <mergeCell ref="A757:D757"/>
    <mergeCell ref="A758:D758"/>
    <mergeCell ref="A759:D759"/>
    <mergeCell ref="A760:E760"/>
    <mergeCell ref="A749:D749"/>
    <mergeCell ref="A750:E750"/>
    <mergeCell ref="A751:D751"/>
    <mergeCell ref="A752:E752"/>
    <mergeCell ref="A753:D753"/>
    <mergeCell ref="A754:D754"/>
    <mergeCell ref="A743:D743"/>
    <mergeCell ref="A744:D744"/>
    <mergeCell ref="A745:E745"/>
    <mergeCell ref="A746:D746"/>
    <mergeCell ref="A747:D747"/>
    <mergeCell ref="A748:E748"/>
    <mergeCell ref="A737:D737"/>
    <mergeCell ref="A738:E738"/>
    <mergeCell ref="A739:D739"/>
    <mergeCell ref="A740:E740"/>
    <mergeCell ref="A741:D741"/>
    <mergeCell ref="A742:E742"/>
    <mergeCell ref="A731:D731"/>
    <mergeCell ref="A732:D732"/>
    <mergeCell ref="A733:D733"/>
    <mergeCell ref="A734:D734"/>
    <mergeCell ref="A735:E735"/>
    <mergeCell ref="A736:D736"/>
    <mergeCell ref="A725:D725"/>
    <mergeCell ref="A726:E726"/>
    <mergeCell ref="A727:D727"/>
    <mergeCell ref="A728:E728"/>
    <mergeCell ref="A729:D729"/>
    <mergeCell ref="A730:E730"/>
    <mergeCell ref="A719:E719"/>
    <mergeCell ref="A720:D720"/>
    <mergeCell ref="A721:D721"/>
    <mergeCell ref="A722:D722"/>
    <mergeCell ref="A723:E723"/>
    <mergeCell ref="A724:D724"/>
    <mergeCell ref="A713:D713"/>
    <mergeCell ref="A714:D714"/>
    <mergeCell ref="A715:D715"/>
    <mergeCell ref="A716:D716"/>
    <mergeCell ref="A717:D717"/>
    <mergeCell ref="A718:D718"/>
    <mergeCell ref="A707:D707"/>
    <mergeCell ref="A708:D708"/>
    <mergeCell ref="A709:E709"/>
    <mergeCell ref="A710:D710"/>
    <mergeCell ref="A711:D711"/>
    <mergeCell ref="A712:E712"/>
    <mergeCell ref="A701:E701"/>
    <mergeCell ref="A702:D702"/>
    <mergeCell ref="A703:D703"/>
    <mergeCell ref="A704:D704"/>
    <mergeCell ref="A705:D705"/>
    <mergeCell ref="A706:E706"/>
    <mergeCell ref="A695:D695"/>
    <mergeCell ref="A696:D696"/>
    <mergeCell ref="A697:E697"/>
    <mergeCell ref="A698:D698"/>
    <mergeCell ref="A699:D699"/>
    <mergeCell ref="A700:D700"/>
    <mergeCell ref="A689:D689"/>
    <mergeCell ref="A690:D690"/>
    <mergeCell ref="A691:D691"/>
    <mergeCell ref="A692:D692"/>
    <mergeCell ref="A693:E693"/>
    <mergeCell ref="A694:D694"/>
    <mergeCell ref="A683:D683"/>
    <mergeCell ref="A684:E684"/>
    <mergeCell ref="A685:D685"/>
    <mergeCell ref="A686:E686"/>
    <mergeCell ref="A687:D687"/>
    <mergeCell ref="A688:E688"/>
    <mergeCell ref="A677:E677"/>
    <mergeCell ref="A678:D678"/>
    <mergeCell ref="A679:D679"/>
    <mergeCell ref="A680:D680"/>
    <mergeCell ref="A681:E681"/>
    <mergeCell ref="A682:D682"/>
    <mergeCell ref="A671:D671"/>
    <mergeCell ref="A672:E672"/>
    <mergeCell ref="A673:D673"/>
    <mergeCell ref="A674:D674"/>
    <mergeCell ref="A675:D675"/>
    <mergeCell ref="A676:D676"/>
    <mergeCell ref="A665:D665"/>
    <mergeCell ref="A666:E666"/>
    <mergeCell ref="A667:D667"/>
    <mergeCell ref="A668:E668"/>
    <mergeCell ref="A669:D669"/>
    <mergeCell ref="A670:E670"/>
    <mergeCell ref="A659:D659"/>
    <mergeCell ref="A660:D660"/>
    <mergeCell ref="A661:D661"/>
    <mergeCell ref="A662:D662"/>
    <mergeCell ref="A663:E663"/>
    <mergeCell ref="A664:D664"/>
    <mergeCell ref="A653:D653"/>
    <mergeCell ref="A654:E654"/>
    <mergeCell ref="A655:D655"/>
    <mergeCell ref="A656:E656"/>
    <mergeCell ref="A657:D657"/>
    <mergeCell ref="A658:D658"/>
    <mergeCell ref="A647:D647"/>
    <mergeCell ref="A648:D648"/>
    <mergeCell ref="A649:E649"/>
    <mergeCell ref="A650:D650"/>
    <mergeCell ref="A651:D651"/>
    <mergeCell ref="A652:E652"/>
    <mergeCell ref="A641:D641"/>
    <mergeCell ref="A642:D642"/>
    <mergeCell ref="A643:D643"/>
    <mergeCell ref="A644:D644"/>
    <mergeCell ref="A645:E645"/>
    <mergeCell ref="A646:D646"/>
    <mergeCell ref="A635:D635"/>
    <mergeCell ref="A636:D636"/>
    <mergeCell ref="A637:E637"/>
    <mergeCell ref="A638:D638"/>
    <mergeCell ref="A639:E639"/>
    <mergeCell ref="A640:D640"/>
    <mergeCell ref="A629:D629"/>
    <mergeCell ref="A630:D630"/>
    <mergeCell ref="A631:E631"/>
    <mergeCell ref="A632:D632"/>
    <mergeCell ref="A633:D633"/>
    <mergeCell ref="A634:E634"/>
    <mergeCell ref="A623:D623"/>
    <mergeCell ref="A624:E624"/>
    <mergeCell ref="A625:D625"/>
    <mergeCell ref="A626:E626"/>
    <mergeCell ref="A627:D627"/>
    <mergeCell ref="A628:E628"/>
    <mergeCell ref="A617:E617"/>
    <mergeCell ref="A618:D618"/>
    <mergeCell ref="A619:D619"/>
    <mergeCell ref="A620:D620"/>
    <mergeCell ref="A621:E621"/>
    <mergeCell ref="A622:D622"/>
    <mergeCell ref="A611:D611"/>
    <mergeCell ref="A612:E612"/>
    <mergeCell ref="A613:D613"/>
    <mergeCell ref="A614:E614"/>
    <mergeCell ref="A615:D615"/>
    <mergeCell ref="A616:D616"/>
    <mergeCell ref="A605:D605"/>
    <mergeCell ref="A606:D606"/>
    <mergeCell ref="A607:E607"/>
    <mergeCell ref="A608:D608"/>
    <mergeCell ref="A609:D609"/>
    <mergeCell ref="A610:E610"/>
    <mergeCell ref="A599:E599"/>
    <mergeCell ref="A600:D600"/>
    <mergeCell ref="A601:D601"/>
    <mergeCell ref="A602:D602"/>
    <mergeCell ref="A603:D603"/>
    <mergeCell ref="A604:D604"/>
    <mergeCell ref="A593:D593"/>
    <mergeCell ref="A594:D594"/>
    <mergeCell ref="A595:D595"/>
    <mergeCell ref="A596:D596"/>
    <mergeCell ref="A597:D597"/>
    <mergeCell ref="A598:D598"/>
    <mergeCell ref="A587:E587"/>
    <mergeCell ref="A588:D588"/>
    <mergeCell ref="A589:E589"/>
    <mergeCell ref="A590:D590"/>
    <mergeCell ref="A591:D591"/>
    <mergeCell ref="A592:D592"/>
    <mergeCell ref="A581:E581"/>
    <mergeCell ref="A582:E582"/>
    <mergeCell ref="A583:D583"/>
    <mergeCell ref="A584:E584"/>
    <mergeCell ref="A585:D585"/>
    <mergeCell ref="A586:E586"/>
    <mergeCell ref="A575:E575"/>
    <mergeCell ref="A576:E576"/>
    <mergeCell ref="A577:D577"/>
    <mergeCell ref="A578:E578"/>
    <mergeCell ref="A579:E579"/>
    <mergeCell ref="A580:D580"/>
    <mergeCell ref="A569:D569"/>
    <mergeCell ref="A570:D570"/>
    <mergeCell ref="A571:E571"/>
    <mergeCell ref="A572:D572"/>
    <mergeCell ref="A573:D573"/>
    <mergeCell ref="A574:D574"/>
    <mergeCell ref="A563:E563"/>
    <mergeCell ref="A564:D564"/>
    <mergeCell ref="A565:D565"/>
    <mergeCell ref="A566:E566"/>
    <mergeCell ref="A567:D567"/>
    <mergeCell ref="A568:E568"/>
    <mergeCell ref="A557:E557"/>
    <mergeCell ref="A558:D558"/>
    <mergeCell ref="A559:D559"/>
    <mergeCell ref="A560:E560"/>
    <mergeCell ref="A561:D561"/>
    <mergeCell ref="A562:D562"/>
    <mergeCell ref="A551:E551"/>
    <mergeCell ref="A552:D552"/>
    <mergeCell ref="A553:E553"/>
    <mergeCell ref="A554:D554"/>
    <mergeCell ref="A555:E555"/>
    <mergeCell ref="A556:D556"/>
    <mergeCell ref="A545:D545"/>
    <mergeCell ref="A546:D546"/>
    <mergeCell ref="A547:E547"/>
    <mergeCell ref="A548:D548"/>
    <mergeCell ref="A549:D549"/>
    <mergeCell ref="A550:D550"/>
    <mergeCell ref="A539:D539"/>
    <mergeCell ref="A540:E540"/>
    <mergeCell ref="A541:D541"/>
    <mergeCell ref="A542:E542"/>
    <mergeCell ref="A543:D543"/>
    <mergeCell ref="A544:E544"/>
    <mergeCell ref="A533:D533"/>
    <mergeCell ref="A534:E534"/>
    <mergeCell ref="A535:D535"/>
    <mergeCell ref="A536:E536"/>
    <mergeCell ref="A537:D537"/>
    <mergeCell ref="A538:E538"/>
    <mergeCell ref="A527:D527"/>
    <mergeCell ref="A528:D528"/>
    <mergeCell ref="A529:D529"/>
    <mergeCell ref="A530:E530"/>
    <mergeCell ref="A531:D531"/>
    <mergeCell ref="A532:E532"/>
    <mergeCell ref="A521:E521"/>
    <mergeCell ref="A522:D522"/>
    <mergeCell ref="A523:D523"/>
    <mergeCell ref="A524:E524"/>
    <mergeCell ref="A525:D525"/>
    <mergeCell ref="A526:D526"/>
    <mergeCell ref="A515:D515"/>
    <mergeCell ref="A516:E516"/>
    <mergeCell ref="A517:E517"/>
    <mergeCell ref="A518:D518"/>
    <mergeCell ref="A519:E519"/>
    <mergeCell ref="A520:D520"/>
    <mergeCell ref="A509:D509"/>
    <mergeCell ref="A510:D510"/>
    <mergeCell ref="A511:E511"/>
    <mergeCell ref="A512:E512"/>
    <mergeCell ref="A513:D513"/>
    <mergeCell ref="A514:E514"/>
    <mergeCell ref="A503:D503"/>
    <mergeCell ref="A504:D504"/>
    <mergeCell ref="A505:D505"/>
    <mergeCell ref="A506:D506"/>
    <mergeCell ref="A507:D507"/>
    <mergeCell ref="A508:D508"/>
    <mergeCell ref="A497:D497"/>
    <mergeCell ref="A498:D498"/>
    <mergeCell ref="A499:D499"/>
    <mergeCell ref="A500:D500"/>
    <mergeCell ref="A501:E501"/>
    <mergeCell ref="A502:D502"/>
    <mergeCell ref="A491:D491"/>
    <mergeCell ref="A492:D492"/>
    <mergeCell ref="A493:D493"/>
    <mergeCell ref="A494:D494"/>
    <mergeCell ref="A495:D495"/>
    <mergeCell ref="A496:D496"/>
    <mergeCell ref="A485:D485"/>
    <mergeCell ref="A486:D486"/>
    <mergeCell ref="A487:D487"/>
    <mergeCell ref="A488:D488"/>
    <mergeCell ref="A489:D489"/>
    <mergeCell ref="A490:D490"/>
    <mergeCell ref="A479:D479"/>
    <mergeCell ref="A480:D480"/>
    <mergeCell ref="A481:D481"/>
    <mergeCell ref="A482:D482"/>
    <mergeCell ref="A483:D483"/>
    <mergeCell ref="A484:D484"/>
    <mergeCell ref="A473:D473"/>
    <mergeCell ref="A474:D474"/>
    <mergeCell ref="A475:D475"/>
    <mergeCell ref="A476:D476"/>
    <mergeCell ref="A477:D477"/>
    <mergeCell ref="A478:D478"/>
    <mergeCell ref="A467:D467"/>
    <mergeCell ref="A468:D468"/>
    <mergeCell ref="A469:D469"/>
    <mergeCell ref="A470:D470"/>
    <mergeCell ref="A471:D471"/>
    <mergeCell ref="A472:D472"/>
    <mergeCell ref="A461:D461"/>
    <mergeCell ref="A462:D462"/>
    <mergeCell ref="A463:D463"/>
    <mergeCell ref="A464:D464"/>
    <mergeCell ref="A465:D465"/>
    <mergeCell ref="A466:D466"/>
    <mergeCell ref="A455:D455"/>
    <mergeCell ref="A456:D456"/>
    <mergeCell ref="A457:D457"/>
    <mergeCell ref="A458:D458"/>
    <mergeCell ref="A459:D459"/>
    <mergeCell ref="A460:D460"/>
    <mergeCell ref="A449:D449"/>
    <mergeCell ref="A450:D450"/>
    <mergeCell ref="A451:D451"/>
    <mergeCell ref="A452:D452"/>
    <mergeCell ref="A453:D453"/>
    <mergeCell ref="A454:D454"/>
    <mergeCell ref="A443:D443"/>
    <mergeCell ref="A444:D444"/>
    <mergeCell ref="A445:D445"/>
    <mergeCell ref="A446:D446"/>
    <mergeCell ref="A447:D447"/>
    <mergeCell ref="A448:D448"/>
    <mergeCell ref="A437:D437"/>
    <mergeCell ref="A438:D438"/>
    <mergeCell ref="A439:D439"/>
    <mergeCell ref="A440:D440"/>
    <mergeCell ref="A441:D441"/>
    <mergeCell ref="A442:D442"/>
    <mergeCell ref="A431:D431"/>
    <mergeCell ref="A432:D432"/>
    <mergeCell ref="A433:D433"/>
    <mergeCell ref="A434:E434"/>
    <mergeCell ref="A435:D435"/>
    <mergeCell ref="A436:D436"/>
    <mergeCell ref="A425:D425"/>
    <mergeCell ref="A426:D426"/>
    <mergeCell ref="A427:D427"/>
    <mergeCell ref="A428:D428"/>
    <mergeCell ref="A429:D429"/>
    <mergeCell ref="A430:D430"/>
    <mergeCell ref="A419:D419"/>
    <mergeCell ref="A420:D420"/>
    <mergeCell ref="A421:D421"/>
    <mergeCell ref="A422:D422"/>
    <mergeCell ref="A423:D423"/>
    <mergeCell ref="A424:D424"/>
    <mergeCell ref="A413:D413"/>
    <mergeCell ref="A414:D414"/>
    <mergeCell ref="A415:D415"/>
    <mergeCell ref="A416:D416"/>
    <mergeCell ref="A417:D417"/>
    <mergeCell ref="A418:D418"/>
    <mergeCell ref="A407:D407"/>
    <mergeCell ref="A408:D408"/>
    <mergeCell ref="A409:D409"/>
    <mergeCell ref="A410:D410"/>
    <mergeCell ref="A411:D411"/>
    <mergeCell ref="A412:D412"/>
    <mergeCell ref="A401:D401"/>
    <mergeCell ref="A402:E402"/>
    <mergeCell ref="A403:D403"/>
    <mergeCell ref="A404:D404"/>
    <mergeCell ref="A405:E405"/>
    <mergeCell ref="A406:D406"/>
    <mergeCell ref="A395:D395"/>
    <mergeCell ref="A396:D396"/>
    <mergeCell ref="A397:D397"/>
    <mergeCell ref="A398:D398"/>
    <mergeCell ref="A399:D399"/>
    <mergeCell ref="A400:E400"/>
    <mergeCell ref="A389:D389"/>
    <mergeCell ref="A390:D390"/>
    <mergeCell ref="A391:D391"/>
    <mergeCell ref="A392:D392"/>
    <mergeCell ref="A393:D393"/>
    <mergeCell ref="A394:D394"/>
    <mergeCell ref="A383:E383"/>
    <mergeCell ref="A384:D384"/>
    <mergeCell ref="A385:D385"/>
    <mergeCell ref="A386:D386"/>
    <mergeCell ref="A387:D387"/>
    <mergeCell ref="A388:D388"/>
    <mergeCell ref="A377:D377"/>
    <mergeCell ref="A378:D378"/>
    <mergeCell ref="A379:D379"/>
    <mergeCell ref="A380:E380"/>
    <mergeCell ref="A381:D381"/>
    <mergeCell ref="A382:D382"/>
    <mergeCell ref="A371:D371"/>
    <mergeCell ref="A372:D372"/>
    <mergeCell ref="A373:D373"/>
    <mergeCell ref="A374:D374"/>
    <mergeCell ref="A375:D375"/>
    <mergeCell ref="A376:D376"/>
    <mergeCell ref="A365:D365"/>
    <mergeCell ref="A366:D366"/>
    <mergeCell ref="A367:D367"/>
    <mergeCell ref="A368:D368"/>
    <mergeCell ref="A369:D369"/>
    <mergeCell ref="A370:D370"/>
    <mergeCell ref="A359:D359"/>
    <mergeCell ref="A360:D360"/>
    <mergeCell ref="A361:D361"/>
    <mergeCell ref="A362:D362"/>
    <mergeCell ref="A363:D363"/>
    <mergeCell ref="A364:D364"/>
    <mergeCell ref="A353:D353"/>
    <mergeCell ref="A354:D354"/>
    <mergeCell ref="A355:D355"/>
    <mergeCell ref="A356:D356"/>
    <mergeCell ref="A357:D357"/>
    <mergeCell ref="A358:D358"/>
    <mergeCell ref="A347:D347"/>
    <mergeCell ref="A348:D348"/>
    <mergeCell ref="A349:D349"/>
    <mergeCell ref="A350:D350"/>
    <mergeCell ref="A351:D351"/>
    <mergeCell ref="A352:D352"/>
    <mergeCell ref="A341:D341"/>
    <mergeCell ref="A342:D342"/>
    <mergeCell ref="A343:D343"/>
    <mergeCell ref="A344:D344"/>
    <mergeCell ref="A345:D345"/>
    <mergeCell ref="A346:D346"/>
    <mergeCell ref="A335:D335"/>
    <mergeCell ref="A336:D336"/>
    <mergeCell ref="A337:D337"/>
    <mergeCell ref="A338:D338"/>
    <mergeCell ref="A339:D339"/>
    <mergeCell ref="A340:D340"/>
    <mergeCell ref="A329:D329"/>
    <mergeCell ref="A330:D330"/>
    <mergeCell ref="A331:D331"/>
    <mergeCell ref="A332:D332"/>
    <mergeCell ref="A333:D333"/>
    <mergeCell ref="A334:D334"/>
    <mergeCell ref="A323:D323"/>
    <mergeCell ref="A324:D324"/>
    <mergeCell ref="A325:D325"/>
    <mergeCell ref="A326:D326"/>
    <mergeCell ref="A327:D327"/>
    <mergeCell ref="A328:D328"/>
    <mergeCell ref="A317:D317"/>
    <mergeCell ref="A318:D318"/>
    <mergeCell ref="A319:D319"/>
    <mergeCell ref="A320:D320"/>
    <mergeCell ref="A321:D321"/>
    <mergeCell ref="A322:D322"/>
    <mergeCell ref="A311:D311"/>
    <mergeCell ref="A312:D312"/>
    <mergeCell ref="A313:D313"/>
    <mergeCell ref="A314:D314"/>
    <mergeCell ref="A315:D315"/>
    <mergeCell ref="A316:D316"/>
    <mergeCell ref="A305:D305"/>
    <mergeCell ref="A306:D306"/>
    <mergeCell ref="A307:D307"/>
    <mergeCell ref="A308:D308"/>
    <mergeCell ref="A309:D309"/>
    <mergeCell ref="A310:D310"/>
    <mergeCell ref="A299:D299"/>
    <mergeCell ref="A300:D300"/>
    <mergeCell ref="A301:D301"/>
    <mergeCell ref="A302:D302"/>
    <mergeCell ref="A303:D303"/>
    <mergeCell ref="A304:D304"/>
    <mergeCell ref="A293:E293"/>
    <mergeCell ref="A294:D294"/>
    <mergeCell ref="A295:D295"/>
    <mergeCell ref="A296:D296"/>
    <mergeCell ref="A297:D297"/>
    <mergeCell ref="A298:D298"/>
    <mergeCell ref="A287:D287"/>
    <mergeCell ref="A288:D288"/>
    <mergeCell ref="A289:D289"/>
    <mergeCell ref="A290:D290"/>
    <mergeCell ref="A291:D291"/>
    <mergeCell ref="A292:D292"/>
    <mergeCell ref="A281:E281"/>
    <mergeCell ref="A282:D282"/>
    <mergeCell ref="A283:D283"/>
    <mergeCell ref="A284:D284"/>
    <mergeCell ref="A285:D285"/>
    <mergeCell ref="A286:D286"/>
    <mergeCell ref="A275:D275"/>
    <mergeCell ref="A276:D276"/>
    <mergeCell ref="A277:D277"/>
    <mergeCell ref="A278:D278"/>
    <mergeCell ref="A279:D279"/>
    <mergeCell ref="A280:D280"/>
    <mergeCell ref="A269:D269"/>
    <mergeCell ref="A270:D270"/>
    <mergeCell ref="A271:D271"/>
    <mergeCell ref="A272:D272"/>
    <mergeCell ref="A273:D273"/>
    <mergeCell ref="A274:D274"/>
    <mergeCell ref="A263:D263"/>
    <mergeCell ref="A264:D264"/>
    <mergeCell ref="A265:E265"/>
    <mergeCell ref="A266:D266"/>
    <mergeCell ref="A267:D267"/>
    <mergeCell ref="A268:E268"/>
    <mergeCell ref="A257:D257"/>
    <mergeCell ref="A258:D258"/>
    <mergeCell ref="A259:D259"/>
    <mergeCell ref="A260:D260"/>
    <mergeCell ref="A261:D261"/>
    <mergeCell ref="A262:D262"/>
    <mergeCell ref="A251:D251"/>
    <mergeCell ref="A252:D252"/>
    <mergeCell ref="A253:D253"/>
    <mergeCell ref="A254:D254"/>
    <mergeCell ref="A255:D255"/>
    <mergeCell ref="A256:D256"/>
    <mergeCell ref="A245:D245"/>
    <mergeCell ref="A246:D246"/>
    <mergeCell ref="A247:D247"/>
    <mergeCell ref="A248:D248"/>
    <mergeCell ref="A249:D249"/>
    <mergeCell ref="A250:D250"/>
    <mergeCell ref="A239:D239"/>
    <mergeCell ref="A240:D240"/>
    <mergeCell ref="A241:E241"/>
    <mergeCell ref="A242:D242"/>
    <mergeCell ref="A243:D243"/>
    <mergeCell ref="A244:E244"/>
    <mergeCell ref="A233:D233"/>
    <mergeCell ref="A234:D234"/>
    <mergeCell ref="A235:D235"/>
    <mergeCell ref="A236:D236"/>
    <mergeCell ref="A237:E237"/>
    <mergeCell ref="A238:D238"/>
    <mergeCell ref="A227:D227"/>
    <mergeCell ref="A228:D228"/>
    <mergeCell ref="A229:D229"/>
    <mergeCell ref="A230:D230"/>
    <mergeCell ref="A231:D231"/>
    <mergeCell ref="A232:D232"/>
    <mergeCell ref="A221:D221"/>
    <mergeCell ref="A222:D222"/>
    <mergeCell ref="A223:D223"/>
    <mergeCell ref="A224:D224"/>
    <mergeCell ref="A225:D225"/>
    <mergeCell ref="A226:D226"/>
    <mergeCell ref="A215:D215"/>
    <mergeCell ref="A216:D216"/>
    <mergeCell ref="A217:D217"/>
    <mergeCell ref="A218:D218"/>
    <mergeCell ref="A219:D219"/>
    <mergeCell ref="A220:D220"/>
    <mergeCell ref="A209:D209"/>
    <mergeCell ref="A210:D210"/>
    <mergeCell ref="A211:D211"/>
    <mergeCell ref="A212:D212"/>
    <mergeCell ref="A213:D213"/>
    <mergeCell ref="A214:D214"/>
    <mergeCell ref="A203:D203"/>
    <mergeCell ref="A204:D204"/>
    <mergeCell ref="A205:D205"/>
    <mergeCell ref="A206:D206"/>
    <mergeCell ref="A207:D207"/>
    <mergeCell ref="A208:D208"/>
    <mergeCell ref="A197:D197"/>
    <mergeCell ref="A198:D198"/>
    <mergeCell ref="A199:D199"/>
    <mergeCell ref="A200:D200"/>
    <mergeCell ref="A201:D201"/>
    <mergeCell ref="A202:D202"/>
    <mergeCell ref="A191:D191"/>
    <mergeCell ref="A192:D192"/>
    <mergeCell ref="A193:D193"/>
    <mergeCell ref="A194:D194"/>
    <mergeCell ref="A195:D195"/>
    <mergeCell ref="A196:D196"/>
    <mergeCell ref="A185:D185"/>
    <mergeCell ref="A186:D186"/>
    <mergeCell ref="A187:D187"/>
    <mergeCell ref="A188:D188"/>
    <mergeCell ref="A189:D189"/>
    <mergeCell ref="A190:D190"/>
    <mergeCell ref="A179:D179"/>
    <mergeCell ref="A180:D180"/>
    <mergeCell ref="A181:D181"/>
    <mergeCell ref="A182:D182"/>
    <mergeCell ref="A183:D183"/>
    <mergeCell ref="A184:D184"/>
    <mergeCell ref="A173:D173"/>
    <mergeCell ref="A174:D174"/>
    <mergeCell ref="A175:D175"/>
    <mergeCell ref="A176:D176"/>
    <mergeCell ref="A177:D177"/>
    <mergeCell ref="A178:D178"/>
    <mergeCell ref="A167:D167"/>
    <mergeCell ref="A168:D168"/>
    <mergeCell ref="A169:D169"/>
    <mergeCell ref="A170:D170"/>
    <mergeCell ref="A171:D171"/>
    <mergeCell ref="A172:D172"/>
    <mergeCell ref="A161:D161"/>
    <mergeCell ref="A162:D162"/>
    <mergeCell ref="A163:D163"/>
    <mergeCell ref="A164:D164"/>
    <mergeCell ref="A165:D165"/>
    <mergeCell ref="A166:D166"/>
    <mergeCell ref="A155:D155"/>
    <mergeCell ref="A156:D156"/>
    <mergeCell ref="A157:D157"/>
    <mergeCell ref="A158:D158"/>
    <mergeCell ref="A159:E159"/>
    <mergeCell ref="A160:D160"/>
    <mergeCell ref="A149:D149"/>
    <mergeCell ref="A150:D150"/>
    <mergeCell ref="A151:D151"/>
    <mergeCell ref="A152:D152"/>
    <mergeCell ref="A153:D153"/>
    <mergeCell ref="A154:D154"/>
    <mergeCell ref="A143:D143"/>
    <mergeCell ref="A144:D144"/>
    <mergeCell ref="A145:D145"/>
    <mergeCell ref="A146:D146"/>
    <mergeCell ref="A147:D147"/>
    <mergeCell ref="A148:D148"/>
    <mergeCell ref="A137:D137"/>
    <mergeCell ref="A138:D138"/>
    <mergeCell ref="A139:D139"/>
    <mergeCell ref="A140:D140"/>
    <mergeCell ref="A141:D141"/>
    <mergeCell ref="A142:D142"/>
    <mergeCell ref="A131:D131"/>
    <mergeCell ref="A132:D132"/>
    <mergeCell ref="A133:D133"/>
    <mergeCell ref="A134:D134"/>
    <mergeCell ref="A135:D135"/>
    <mergeCell ref="A136:D136"/>
    <mergeCell ref="A125:D125"/>
    <mergeCell ref="A126:D126"/>
    <mergeCell ref="A127:D127"/>
    <mergeCell ref="A128:D128"/>
    <mergeCell ref="A129:D129"/>
    <mergeCell ref="A130:D130"/>
    <mergeCell ref="A119:D119"/>
    <mergeCell ref="A120:D120"/>
    <mergeCell ref="A121:D121"/>
    <mergeCell ref="A122:D122"/>
    <mergeCell ref="A123:D123"/>
    <mergeCell ref="A124:D124"/>
    <mergeCell ref="A113:D113"/>
    <mergeCell ref="A114:D114"/>
    <mergeCell ref="A115:D115"/>
    <mergeCell ref="A116:D116"/>
    <mergeCell ref="A117:D117"/>
    <mergeCell ref="A118:D118"/>
    <mergeCell ref="A107:D107"/>
    <mergeCell ref="A108:D108"/>
    <mergeCell ref="A109:D109"/>
    <mergeCell ref="A110:D110"/>
    <mergeCell ref="A111:D111"/>
    <mergeCell ref="A112:D11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A89:E89"/>
    <mergeCell ref="A90:D90"/>
    <mergeCell ref="A91:E91"/>
    <mergeCell ref="A92:E92"/>
    <mergeCell ref="A93:D93"/>
    <mergeCell ref="A94:E94"/>
    <mergeCell ref="A83:D83"/>
    <mergeCell ref="A84:E84"/>
    <mergeCell ref="A85:D85"/>
    <mergeCell ref="A86:E86"/>
    <mergeCell ref="A87:D87"/>
    <mergeCell ref="A88:E88"/>
    <mergeCell ref="A77:D77"/>
    <mergeCell ref="A78:D78"/>
    <mergeCell ref="A79:D79"/>
    <mergeCell ref="A80:D80"/>
    <mergeCell ref="A81:D81"/>
    <mergeCell ref="A82:E82"/>
    <mergeCell ref="A71:D71"/>
    <mergeCell ref="A72:E72"/>
    <mergeCell ref="A73:E73"/>
    <mergeCell ref="A74:D74"/>
    <mergeCell ref="A75:E75"/>
    <mergeCell ref="A76:E76"/>
    <mergeCell ref="A65:E65"/>
    <mergeCell ref="A66:D66"/>
    <mergeCell ref="A67:E67"/>
    <mergeCell ref="A68:E68"/>
    <mergeCell ref="A69:D69"/>
    <mergeCell ref="A70:E70"/>
    <mergeCell ref="A59:E59"/>
    <mergeCell ref="A60:D60"/>
    <mergeCell ref="A61:E61"/>
    <mergeCell ref="A62:D62"/>
    <mergeCell ref="A63:E63"/>
    <mergeCell ref="A64:D64"/>
    <mergeCell ref="A53:E53"/>
    <mergeCell ref="A54:D54"/>
    <mergeCell ref="A55:D55"/>
    <mergeCell ref="A56:E56"/>
    <mergeCell ref="A57:E57"/>
    <mergeCell ref="A58:D58"/>
    <mergeCell ref="A47:D47"/>
    <mergeCell ref="A48:D48"/>
    <mergeCell ref="A49:E49"/>
    <mergeCell ref="A50:E50"/>
    <mergeCell ref="A51:D51"/>
    <mergeCell ref="A52:E52"/>
    <mergeCell ref="A41:D41"/>
    <mergeCell ref="A42:E42"/>
    <mergeCell ref="A43:D43"/>
    <mergeCell ref="A44:E44"/>
    <mergeCell ref="A45:D45"/>
    <mergeCell ref="A46:E46"/>
    <mergeCell ref="A35:E35"/>
    <mergeCell ref="A36:D36"/>
    <mergeCell ref="A37:E37"/>
    <mergeCell ref="A38:E38"/>
    <mergeCell ref="A39:D39"/>
    <mergeCell ref="A40:E40"/>
    <mergeCell ref="A29:E29"/>
    <mergeCell ref="A30:D30"/>
    <mergeCell ref="A31:E31"/>
    <mergeCell ref="A32:E32"/>
    <mergeCell ref="A33:D33"/>
    <mergeCell ref="A34:E34"/>
    <mergeCell ref="A23:E23"/>
    <mergeCell ref="A24:E24"/>
    <mergeCell ref="A25:D25"/>
    <mergeCell ref="A26:E26"/>
    <mergeCell ref="A27:D27"/>
    <mergeCell ref="A28:E28"/>
    <mergeCell ref="A17:E17"/>
    <mergeCell ref="A18:D18"/>
    <mergeCell ref="A19:E19"/>
    <mergeCell ref="A20:D20"/>
    <mergeCell ref="A21:E21"/>
    <mergeCell ref="A22:D22"/>
    <mergeCell ref="A11:E11"/>
    <mergeCell ref="A12:E12"/>
    <mergeCell ref="A13:D13"/>
    <mergeCell ref="A14:D14"/>
    <mergeCell ref="A15:D15"/>
    <mergeCell ref="A16:E16"/>
    <mergeCell ref="A8:E8"/>
    <mergeCell ref="F8:F10"/>
    <mergeCell ref="G8:G10"/>
    <mergeCell ref="H8:H10"/>
    <mergeCell ref="I8:I10"/>
    <mergeCell ref="A9:E9"/>
    <mergeCell ref="A10:D1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D9B6-F325-4163-8E08-5BB113FAD4AD}">
  <sheetPr filterMode="1">
    <outlinePr summaryBelow="0" summaryRight="0"/>
    <pageSetUpPr autoPageBreaks="0" fitToPage="1"/>
  </sheetPr>
  <dimension ref="A1:L42"/>
  <sheetViews>
    <sheetView workbookViewId="0">
      <selection activeCell="B4" sqref="B4:B9"/>
    </sheetView>
  </sheetViews>
  <sheetFormatPr defaultColWidth="9" defaultRowHeight="11.45" customHeight="1" x14ac:dyDescent="0.2"/>
  <cols>
    <col min="1" max="1" width="38.28515625" style="18" bestFit="1" customWidth="1"/>
    <col min="2" max="2" width="17.28515625" style="18" customWidth="1"/>
    <col min="3" max="3" width="13.42578125" style="20" bestFit="1" customWidth="1"/>
    <col min="4" max="4" width="9" style="20"/>
    <col min="5" max="5" width="13.42578125" style="20" bestFit="1" customWidth="1"/>
    <col min="6" max="7" width="9" style="20"/>
    <col min="8" max="9" width="11.85546875" style="20" customWidth="1"/>
    <col min="10" max="10" width="11.28515625" style="20" customWidth="1"/>
    <col min="11" max="16384" width="9" style="20"/>
  </cols>
  <sheetData>
    <row r="1" spans="1:12" ht="12.95" customHeight="1" x14ac:dyDescent="0.2">
      <c r="A1" s="59" t="s">
        <v>136</v>
      </c>
      <c r="B1" s="60" t="s">
        <v>140</v>
      </c>
    </row>
    <row r="2" spans="1:12" ht="12.95" customHeight="1" x14ac:dyDescent="0.2">
      <c r="A2" s="59" t="s">
        <v>141</v>
      </c>
      <c r="B2" s="61"/>
    </row>
    <row r="3" spans="1:12" ht="36.75" customHeight="1" x14ac:dyDescent="0.2">
      <c r="A3" s="66" t="s">
        <v>24</v>
      </c>
      <c r="B3" s="67" t="s">
        <v>1339</v>
      </c>
    </row>
    <row r="4" spans="1:12" ht="11.1" customHeight="1" x14ac:dyDescent="0.2">
      <c r="A4" s="58" t="s">
        <v>1341</v>
      </c>
      <c r="B4" s="36">
        <v>3561041</v>
      </c>
      <c r="C4" s="20" t="s">
        <v>1335</v>
      </c>
      <c r="H4" s="58" t="s">
        <v>1341</v>
      </c>
      <c r="I4" s="68">
        <f>J4/$J$12</f>
        <v>0.39791477003779052</v>
      </c>
      <c r="J4" s="36">
        <v>3561041</v>
      </c>
    </row>
    <row r="5" spans="1:12" ht="11.1" customHeight="1" x14ac:dyDescent="0.2">
      <c r="A5" s="63" t="s">
        <v>1342</v>
      </c>
      <c r="B5" s="36">
        <f>1130720.05+66281.86</f>
        <v>1197001.9100000001</v>
      </c>
      <c r="C5" s="20" t="s">
        <v>1335</v>
      </c>
      <c r="H5" s="58" t="s">
        <v>1342</v>
      </c>
      <c r="I5" s="68">
        <f t="shared" ref="I5:I11" si="0">J5/$J$12</f>
        <v>0.13375435434538555</v>
      </c>
      <c r="J5" s="36">
        <f>1130720.05+66281.86</f>
        <v>1197001.9100000001</v>
      </c>
    </row>
    <row r="6" spans="1:12" ht="11.1" customHeight="1" x14ac:dyDescent="0.2">
      <c r="A6" s="58" t="s">
        <v>1343</v>
      </c>
      <c r="B6" s="36">
        <v>993211.99</v>
      </c>
      <c r="C6" s="20" t="s">
        <v>1335</v>
      </c>
      <c r="H6" s="58" t="s">
        <v>1343</v>
      </c>
      <c r="I6" s="68">
        <f t="shared" si="0"/>
        <v>0.11098263698722545</v>
      </c>
      <c r="J6" s="36">
        <v>993211.99</v>
      </c>
    </row>
    <row r="7" spans="1:12" ht="11.1" customHeight="1" x14ac:dyDescent="0.2">
      <c r="A7" s="58" t="s">
        <v>1344</v>
      </c>
      <c r="B7" s="36">
        <v>613750</v>
      </c>
      <c r="C7" s="20" t="s">
        <v>1335</v>
      </c>
      <c r="H7" s="58" t="s">
        <v>1344</v>
      </c>
      <c r="I7" s="68">
        <f t="shared" si="0"/>
        <v>6.8581122798275537E-2</v>
      </c>
      <c r="J7" s="36">
        <v>613750</v>
      </c>
    </row>
    <row r="8" spans="1:12" ht="11.1" customHeight="1" x14ac:dyDescent="0.2">
      <c r="A8" s="58" t="s">
        <v>1345</v>
      </c>
      <c r="B8" s="36">
        <v>472210.87</v>
      </c>
      <c r="C8" s="20" t="s">
        <v>1335</v>
      </c>
      <c r="H8" s="58" t="s">
        <v>1345</v>
      </c>
      <c r="I8" s="68">
        <f t="shared" si="0"/>
        <v>5.2765379490265621E-2</v>
      </c>
      <c r="J8" s="36">
        <v>472210.87</v>
      </c>
      <c r="L8" s="20">
        <f>J12/92.4155</f>
        <v>96837.171686567744</v>
      </c>
    </row>
    <row r="9" spans="1:12" ht="11.1" customHeight="1" x14ac:dyDescent="0.2">
      <c r="A9" s="58" t="s">
        <v>1346</v>
      </c>
      <c r="B9" s="36">
        <v>409689.22</v>
      </c>
      <c r="C9" s="20" t="s">
        <v>1335</v>
      </c>
      <c r="H9" s="58" t="s">
        <v>1346</v>
      </c>
      <c r="I9" s="68">
        <f t="shared" si="0"/>
        <v>4.5779139235763294E-2</v>
      </c>
      <c r="J9" s="36">
        <v>409689.22</v>
      </c>
    </row>
    <row r="10" spans="1:12" ht="11.1" customHeight="1" x14ac:dyDescent="0.2">
      <c r="A10" s="58" t="s">
        <v>1347</v>
      </c>
      <c r="B10" s="36">
        <v>378000</v>
      </c>
      <c r="C10" s="20" t="s">
        <v>1335</v>
      </c>
      <c r="H10" s="58" t="s">
        <v>1353</v>
      </c>
      <c r="I10" s="68">
        <f t="shared" si="0"/>
        <v>0.1379108318778566</v>
      </c>
      <c r="J10" s="36">
        <v>1234199.29</v>
      </c>
    </row>
    <row r="11" spans="1:12" ht="11.1" customHeight="1" x14ac:dyDescent="0.2">
      <c r="A11" s="58" t="s">
        <v>1348</v>
      </c>
      <c r="B11" s="36">
        <v>210168</v>
      </c>
      <c r="C11" s="20" t="s">
        <v>1335</v>
      </c>
      <c r="E11" s="20" t="s">
        <v>1336</v>
      </c>
      <c r="H11" s="58" t="s">
        <v>1337</v>
      </c>
      <c r="I11" s="68">
        <f t="shared" si="0"/>
        <v>5.2311765227437391E-2</v>
      </c>
      <c r="J11" s="36">
        <v>468151.36</v>
      </c>
    </row>
    <row r="12" spans="1:12" ht="11.1" customHeight="1" x14ac:dyDescent="0.2">
      <c r="A12" s="58" t="s">
        <v>1349</v>
      </c>
      <c r="B12" s="36">
        <v>180391.25</v>
      </c>
      <c r="C12" s="20" t="s">
        <v>1335</v>
      </c>
      <c r="E12" s="20" t="s">
        <v>1337</v>
      </c>
      <c r="J12" s="20">
        <f>SUBTOTAL(9,J4:J11)</f>
        <v>8949255.6400000006</v>
      </c>
    </row>
    <row r="13" spans="1:12" ht="11.1" customHeight="1" x14ac:dyDescent="0.2">
      <c r="A13" s="58" t="s">
        <v>1350</v>
      </c>
      <c r="B13" s="36">
        <v>103360</v>
      </c>
      <c r="C13" s="20" t="s">
        <v>1335</v>
      </c>
    </row>
    <row r="14" spans="1:12" ht="11.1" customHeight="1" x14ac:dyDescent="0.2">
      <c r="A14" s="58" t="s">
        <v>1351</v>
      </c>
      <c r="B14" s="36">
        <v>48358.62</v>
      </c>
      <c r="C14" s="20" t="s">
        <v>1335</v>
      </c>
    </row>
    <row r="15" spans="1:12" ht="11.1" customHeight="1" x14ac:dyDescent="0.2">
      <c r="A15" s="58" t="s">
        <v>1352</v>
      </c>
      <c r="B15" s="36">
        <v>29700</v>
      </c>
      <c r="C15" s="20" t="s">
        <v>1335</v>
      </c>
    </row>
    <row r="16" spans="1:12" ht="11.1" customHeight="1" x14ac:dyDescent="0.2">
      <c r="A16" s="58" t="s">
        <v>1336</v>
      </c>
      <c r="B16" s="36">
        <v>284221.42</v>
      </c>
    </row>
    <row r="17" spans="1:3" ht="11.1" customHeight="1" x14ac:dyDescent="0.2">
      <c r="A17" s="58" t="s">
        <v>1337</v>
      </c>
      <c r="B17" s="36">
        <v>468151.36</v>
      </c>
    </row>
    <row r="18" spans="1:3" ht="11.1" customHeight="1" x14ac:dyDescent="0.2">
      <c r="A18" s="58" t="s">
        <v>1340</v>
      </c>
      <c r="B18" s="23">
        <f>SUBTOTAL(9,B4:B17)</f>
        <v>8949255.6400000006</v>
      </c>
    </row>
    <row r="19" spans="1:3" ht="11.1" customHeight="1" x14ac:dyDescent="0.2">
      <c r="A19" s="58"/>
      <c r="B19" s="23"/>
    </row>
    <row r="20" spans="1:3" ht="11.1" customHeight="1" x14ac:dyDescent="0.2">
      <c r="A20" s="58" t="s">
        <v>1313</v>
      </c>
      <c r="B20" s="23">
        <v>170771.06</v>
      </c>
      <c r="C20" s="20" t="s">
        <v>1337</v>
      </c>
    </row>
    <row r="21" spans="1:3" ht="11.1" customHeight="1" x14ac:dyDescent="0.2">
      <c r="A21" s="58" t="s">
        <v>160</v>
      </c>
      <c r="B21" s="36">
        <v>60249</v>
      </c>
      <c r="C21" s="20" t="s">
        <v>1337</v>
      </c>
    </row>
    <row r="22" spans="1:3" ht="11.1" customHeight="1" x14ac:dyDescent="0.2">
      <c r="A22" s="58" t="s">
        <v>144</v>
      </c>
      <c r="B22" s="23">
        <v>48371.94</v>
      </c>
      <c r="C22" s="20" t="s">
        <v>1337</v>
      </c>
    </row>
    <row r="23" spans="1:3" ht="11.1" customHeight="1" x14ac:dyDescent="0.2">
      <c r="A23" s="58" t="s">
        <v>150</v>
      </c>
      <c r="B23" s="23">
        <v>47547.040000000001</v>
      </c>
      <c r="C23" s="20" t="s">
        <v>1337</v>
      </c>
    </row>
    <row r="24" spans="1:3" ht="11.1" customHeight="1" x14ac:dyDescent="0.2">
      <c r="A24" s="58" t="s">
        <v>202</v>
      </c>
      <c r="B24" s="36">
        <v>41430</v>
      </c>
      <c r="C24" s="20" t="s">
        <v>1337</v>
      </c>
    </row>
    <row r="25" spans="1:3" ht="11.1" customHeight="1" x14ac:dyDescent="0.2">
      <c r="A25" s="58" t="s">
        <v>544</v>
      </c>
      <c r="B25" s="36">
        <v>24200</v>
      </c>
      <c r="C25" s="20" t="s">
        <v>1337</v>
      </c>
    </row>
    <row r="26" spans="1:3" ht="11.1" customHeight="1" x14ac:dyDescent="0.2">
      <c r="A26" s="58" t="s">
        <v>205</v>
      </c>
      <c r="B26" s="36">
        <v>20610</v>
      </c>
      <c r="C26" s="20" t="s">
        <v>1337</v>
      </c>
    </row>
    <row r="27" spans="1:3" ht="11.1" customHeight="1" x14ac:dyDescent="0.2">
      <c r="A27" s="58" t="s">
        <v>217</v>
      </c>
      <c r="B27" s="36">
        <v>14980</v>
      </c>
      <c r="C27" s="20" t="s">
        <v>1337</v>
      </c>
    </row>
    <row r="28" spans="1:3" ht="11.1" customHeight="1" x14ac:dyDescent="0.2">
      <c r="A28" s="58" t="s">
        <v>1316</v>
      </c>
      <c r="B28" s="36">
        <v>10280</v>
      </c>
      <c r="C28" s="20" t="s">
        <v>1337</v>
      </c>
    </row>
    <row r="29" spans="1:3" ht="11.1" customHeight="1" x14ac:dyDescent="0.2">
      <c r="A29" s="58" t="s">
        <v>691</v>
      </c>
      <c r="B29" s="36">
        <v>10200</v>
      </c>
      <c r="C29" s="20" t="s">
        <v>1337</v>
      </c>
    </row>
    <row r="30" spans="1:3" ht="11.1" customHeight="1" x14ac:dyDescent="0.2">
      <c r="A30" s="58" t="s">
        <v>485</v>
      </c>
      <c r="B30" s="36">
        <v>10067</v>
      </c>
      <c r="C30" s="20" t="s">
        <v>1337</v>
      </c>
    </row>
    <row r="31" spans="1:3" ht="11.1" customHeight="1" x14ac:dyDescent="0.2">
      <c r="A31" s="58" t="s">
        <v>184</v>
      </c>
      <c r="B31" s="36">
        <v>7034</v>
      </c>
      <c r="C31" s="20" t="s">
        <v>1337</v>
      </c>
    </row>
    <row r="32" spans="1:3" ht="11.1" customHeight="1" x14ac:dyDescent="0.2">
      <c r="A32" s="58" t="s">
        <v>551</v>
      </c>
      <c r="B32" s="23">
        <v>2411.3200000000002</v>
      </c>
      <c r="C32" s="20" t="s">
        <v>1337</v>
      </c>
    </row>
    <row r="33" spans="1:3" ht="11.1" customHeight="1" x14ac:dyDescent="0.2">
      <c r="A33" s="58"/>
      <c r="B33" s="23">
        <f>SUBTOTAL(9,B20:B32)</f>
        <v>468151.36</v>
      </c>
    </row>
    <row r="34" spans="1:3" ht="11.1" customHeight="1" x14ac:dyDescent="0.2">
      <c r="A34" s="58"/>
      <c r="B34" s="23"/>
    </row>
    <row r="35" spans="1:3" ht="11.1" customHeight="1" x14ac:dyDescent="0.2">
      <c r="A35" s="58" t="s">
        <v>181</v>
      </c>
      <c r="B35" s="36">
        <v>111600</v>
      </c>
      <c r="C35" s="20" t="s">
        <v>1336</v>
      </c>
    </row>
    <row r="36" spans="1:3" ht="11.1" customHeight="1" x14ac:dyDescent="0.2">
      <c r="A36" s="58" t="s">
        <v>166</v>
      </c>
      <c r="B36" s="36">
        <v>65000</v>
      </c>
      <c r="C36" s="20" t="s">
        <v>1336</v>
      </c>
    </row>
    <row r="37" spans="1:3" ht="11.1" customHeight="1" x14ac:dyDescent="0.2">
      <c r="A37" s="58" t="s">
        <v>1322</v>
      </c>
      <c r="B37" s="23">
        <v>64122.75</v>
      </c>
      <c r="C37" s="20" t="s">
        <v>1336</v>
      </c>
    </row>
    <row r="38" spans="1:3" ht="11.1" customHeight="1" x14ac:dyDescent="0.2">
      <c r="A38" s="58" t="s">
        <v>163</v>
      </c>
      <c r="B38" s="38">
        <v>16912.5</v>
      </c>
      <c r="C38" s="20" t="s">
        <v>1336</v>
      </c>
    </row>
    <row r="39" spans="1:3" ht="11.1" customHeight="1" x14ac:dyDescent="0.2">
      <c r="A39" s="58" t="s">
        <v>1319</v>
      </c>
      <c r="B39" s="23">
        <v>15000.12</v>
      </c>
      <c r="C39" s="20" t="s">
        <v>1336</v>
      </c>
    </row>
    <row r="40" spans="1:3" ht="11.1" customHeight="1" x14ac:dyDescent="0.2">
      <c r="A40" s="58" t="s">
        <v>548</v>
      </c>
      <c r="B40" s="36">
        <v>9240</v>
      </c>
      <c r="C40" s="20" t="s">
        <v>1336</v>
      </c>
    </row>
    <row r="41" spans="1:3" ht="11.45" customHeight="1" x14ac:dyDescent="0.2">
      <c r="A41" s="64" t="s">
        <v>197</v>
      </c>
      <c r="B41" s="65">
        <v>2346.0500000000002</v>
      </c>
      <c r="C41" s="20" t="s">
        <v>1336</v>
      </c>
    </row>
    <row r="42" spans="1:3" ht="11.45" customHeight="1" x14ac:dyDescent="0.2">
      <c r="B42" s="20">
        <f>SUBTOTAL(9,B35:B41)</f>
        <v>284221.42</v>
      </c>
    </row>
  </sheetData>
  <autoFilter ref="A3:B40" xr:uid="{3E5595DA-6C79-4236-9CA4-DBD6ED3858D4}">
    <filterColumn colId="0">
      <colorFilter dxfId="3"/>
    </filterColumn>
  </autoFilter>
  <sortState xmlns:xlrd2="http://schemas.microsoft.com/office/spreadsheetml/2017/richdata2" ref="A3:C41">
    <sortCondition descending="1" ref="B3:B41"/>
  </sortState>
  <pageMargins left="0.39370078740157483" right="0.39370078740157483" top="0.39370078740157483" bottom="0.39370078740157483" header="0" footer="0"/>
  <pageSetup paperSize="9" fitToHeight="0" pageOrder="overThenDown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2605-D8C2-41A3-BC09-4B40FF75E030}">
  <sheetPr filterMode="1">
    <outlinePr summaryBelow="0" summaryRight="0"/>
    <pageSetUpPr autoPageBreaks="0" fitToPage="1"/>
  </sheetPr>
  <dimension ref="A1:D64"/>
  <sheetViews>
    <sheetView topLeftCell="A31" workbookViewId="0">
      <selection activeCell="A6" sqref="A6"/>
    </sheetView>
  </sheetViews>
  <sheetFormatPr defaultColWidth="9" defaultRowHeight="11.45" customHeight="1" outlineLevelRow="1" x14ac:dyDescent="0.2"/>
  <cols>
    <col min="1" max="1" width="56.85546875" style="69" customWidth="1"/>
    <col min="2" max="2" width="20.85546875" style="69" customWidth="1"/>
    <col min="3" max="3" width="16.28515625" style="71" customWidth="1"/>
    <col min="4" max="4" width="13.42578125" style="71" bestFit="1" customWidth="1"/>
    <col min="5" max="16384" width="9" style="71"/>
  </cols>
  <sheetData>
    <row r="1" spans="1:4" s="69" customFormat="1" ht="9.9499999999999993" customHeight="1" x14ac:dyDescent="0.2"/>
    <row r="2" spans="1:4" s="69" customFormat="1" ht="12.95" customHeight="1" outlineLevel="1" x14ac:dyDescent="0.2">
      <c r="A2" s="70" t="s">
        <v>130</v>
      </c>
    </row>
    <row r="3" spans="1:4" s="69" customFormat="1" ht="12.95" customHeight="1" outlineLevel="1" x14ac:dyDescent="0.2"/>
    <row r="4" spans="1:4" s="69" customFormat="1" ht="12.95" customHeight="1" outlineLevel="1" x14ac:dyDescent="0.2">
      <c r="A4" s="69" t="s">
        <v>1378</v>
      </c>
    </row>
    <row r="5" spans="1:4" s="69" customFormat="1" ht="12.95" customHeight="1" outlineLevel="1" x14ac:dyDescent="0.2"/>
    <row r="6" spans="1:4" s="69" customFormat="1" ht="12.95" customHeight="1" outlineLevel="1" x14ac:dyDescent="0.2"/>
    <row r="7" spans="1:4" s="69" customFormat="1" ht="9.9499999999999993" customHeight="1" x14ac:dyDescent="0.2"/>
    <row r="8" spans="1:4" ht="26.1" customHeight="1" x14ac:dyDescent="0.2">
      <c r="A8" s="77" t="s">
        <v>142</v>
      </c>
      <c r="B8" s="78" t="s">
        <v>1379</v>
      </c>
      <c r="C8" s="78" t="s">
        <v>1380</v>
      </c>
    </row>
    <row r="9" spans="1:4" ht="11.1" customHeight="1" x14ac:dyDescent="0.2">
      <c r="A9" s="76" t="s">
        <v>144</v>
      </c>
      <c r="B9" s="72">
        <v>116214.52</v>
      </c>
      <c r="C9" s="71">
        <f>VLOOKUP(A9,'1-ый квартал 2024'!A11:B42,2,FALSE)</f>
        <v>48371.94</v>
      </c>
      <c r="D9" s="20" t="s">
        <v>1337</v>
      </c>
    </row>
    <row r="10" spans="1:4" ht="11.1" customHeight="1" x14ac:dyDescent="0.2">
      <c r="A10" s="76" t="s">
        <v>1354</v>
      </c>
      <c r="B10" s="73">
        <v>17280</v>
      </c>
      <c r="C10" s="71">
        <v>0</v>
      </c>
      <c r="D10" s="20" t="s">
        <v>1337</v>
      </c>
    </row>
    <row r="11" spans="1:4" ht="11.1" customHeight="1" x14ac:dyDescent="0.2">
      <c r="A11" s="76" t="s">
        <v>1355</v>
      </c>
      <c r="B11" s="73">
        <v>2700</v>
      </c>
      <c r="C11" s="71">
        <v>0</v>
      </c>
      <c r="D11" s="20" t="s">
        <v>1336</v>
      </c>
    </row>
    <row r="12" spans="1:4" ht="11.1" customHeight="1" x14ac:dyDescent="0.2">
      <c r="A12" s="76" t="s">
        <v>1356</v>
      </c>
      <c r="B12" s="73">
        <v>69160</v>
      </c>
      <c r="C12" s="71">
        <v>0</v>
      </c>
      <c r="D12" s="20" t="s">
        <v>1336</v>
      </c>
    </row>
    <row r="13" spans="1:4" ht="11.1" customHeight="1" x14ac:dyDescent="0.2">
      <c r="A13" s="76" t="s">
        <v>1357</v>
      </c>
      <c r="B13" s="73">
        <v>5900</v>
      </c>
      <c r="C13" s="71">
        <v>0</v>
      </c>
      <c r="D13" s="20" t="s">
        <v>1337</v>
      </c>
    </row>
    <row r="14" spans="1:4" ht="11.1" customHeight="1" x14ac:dyDescent="0.2">
      <c r="A14" s="58" t="s">
        <v>150</v>
      </c>
      <c r="B14" s="23"/>
      <c r="C14" s="23">
        <v>47547.040000000001</v>
      </c>
      <c r="D14" s="20" t="s">
        <v>1337</v>
      </c>
    </row>
    <row r="15" spans="1:4" ht="11.1" customHeight="1" x14ac:dyDescent="0.2">
      <c r="A15" s="76" t="s">
        <v>1358</v>
      </c>
      <c r="B15" s="73">
        <v>54160</v>
      </c>
      <c r="C15" s="71">
        <v>0</v>
      </c>
      <c r="D15" s="20" t="s">
        <v>1336</v>
      </c>
    </row>
    <row r="16" spans="1:4" ht="11.1" customHeight="1" x14ac:dyDescent="0.2">
      <c r="A16" s="58" t="s">
        <v>156</v>
      </c>
      <c r="B16" s="23"/>
      <c r="C16" s="36">
        <v>29700</v>
      </c>
    </row>
    <row r="17" spans="1:4" ht="11.1" customHeight="1" x14ac:dyDescent="0.2">
      <c r="A17" s="58" t="s">
        <v>160</v>
      </c>
      <c r="B17" s="23"/>
      <c r="C17" s="36">
        <v>60249</v>
      </c>
      <c r="D17" s="20" t="s">
        <v>1337</v>
      </c>
    </row>
    <row r="18" spans="1:4" ht="11.1" customHeight="1" x14ac:dyDescent="0.2">
      <c r="A18" s="58" t="s">
        <v>163</v>
      </c>
      <c r="B18" s="23"/>
      <c r="C18" s="38">
        <v>16912.5</v>
      </c>
      <c r="D18" s="20" t="s">
        <v>1336</v>
      </c>
    </row>
    <row r="19" spans="1:4" ht="11.1" customHeight="1" x14ac:dyDescent="0.2">
      <c r="A19" s="58" t="s">
        <v>166</v>
      </c>
      <c r="B19" s="23"/>
      <c r="C19" s="36">
        <v>65000</v>
      </c>
      <c r="D19" s="20" t="s">
        <v>1336</v>
      </c>
    </row>
    <row r="20" spans="1:4" ht="11.1" customHeight="1" x14ac:dyDescent="0.2">
      <c r="A20" s="76" t="s">
        <v>169</v>
      </c>
      <c r="B20" s="73">
        <v>213364</v>
      </c>
      <c r="C20" s="23">
        <v>409689.22</v>
      </c>
    </row>
    <row r="21" spans="1:4" ht="11.1" customHeight="1" x14ac:dyDescent="0.2">
      <c r="A21" s="76" t="s">
        <v>181</v>
      </c>
      <c r="B21" s="73">
        <v>421800</v>
      </c>
      <c r="C21" s="36">
        <v>111600</v>
      </c>
      <c r="D21" s="20" t="s">
        <v>1336</v>
      </c>
    </row>
    <row r="22" spans="1:4" ht="11.1" customHeight="1" x14ac:dyDescent="0.2">
      <c r="A22" s="76" t="s">
        <v>1359</v>
      </c>
      <c r="B22" s="73">
        <v>5520</v>
      </c>
      <c r="C22" s="71">
        <v>0</v>
      </c>
      <c r="D22" s="20" t="s">
        <v>1336</v>
      </c>
    </row>
    <row r="23" spans="1:4" ht="11.1" customHeight="1" x14ac:dyDescent="0.2">
      <c r="A23" s="58" t="s">
        <v>184</v>
      </c>
      <c r="B23" s="36"/>
      <c r="C23" s="36">
        <v>7034</v>
      </c>
      <c r="D23" s="20" t="s">
        <v>1337</v>
      </c>
    </row>
    <row r="24" spans="1:4" ht="11.1" customHeight="1" x14ac:dyDescent="0.2">
      <c r="A24" s="76" t="s">
        <v>1360</v>
      </c>
      <c r="B24" s="73">
        <v>44900</v>
      </c>
      <c r="C24" s="71">
        <v>0</v>
      </c>
      <c r="D24" s="20" t="s">
        <v>1336</v>
      </c>
    </row>
    <row r="25" spans="1:4" ht="11.1" customHeight="1" x14ac:dyDescent="0.2">
      <c r="A25" s="76" t="s">
        <v>188</v>
      </c>
      <c r="B25" s="73">
        <v>471810</v>
      </c>
      <c r="C25" s="71">
        <v>613750</v>
      </c>
    </row>
    <row r="26" spans="1:4" ht="11.1" customHeight="1" x14ac:dyDescent="0.2">
      <c r="A26" s="76" t="s">
        <v>197</v>
      </c>
      <c r="B26" s="72">
        <v>112682.24000000001</v>
      </c>
      <c r="C26" s="79">
        <v>2346.0500000000002</v>
      </c>
      <c r="D26" s="20" t="s">
        <v>1336</v>
      </c>
    </row>
    <row r="27" spans="1:4" ht="11.1" customHeight="1" x14ac:dyDescent="0.2">
      <c r="A27" s="76" t="s">
        <v>1361</v>
      </c>
      <c r="B27" s="72">
        <v>8625.2800000000007</v>
      </c>
      <c r="C27" s="71">
        <v>0</v>
      </c>
      <c r="D27" s="20" t="s">
        <v>1337</v>
      </c>
    </row>
    <row r="28" spans="1:4" ht="11.1" customHeight="1" x14ac:dyDescent="0.2">
      <c r="A28" s="58" t="s">
        <v>202</v>
      </c>
      <c r="B28" s="36"/>
      <c r="C28" s="36">
        <v>41430</v>
      </c>
      <c r="D28" s="20" t="s">
        <v>1337</v>
      </c>
    </row>
    <row r="29" spans="1:4" ht="11.1" customHeight="1" x14ac:dyDescent="0.2">
      <c r="A29" s="76" t="s">
        <v>205</v>
      </c>
      <c r="B29" s="73">
        <v>41000</v>
      </c>
      <c r="C29" s="71">
        <v>20610</v>
      </c>
      <c r="D29" s="20" t="s">
        <v>1337</v>
      </c>
    </row>
    <row r="30" spans="1:4" ht="11.1" customHeight="1" x14ac:dyDescent="0.2">
      <c r="A30" s="76" t="s">
        <v>1362</v>
      </c>
      <c r="B30" s="73">
        <v>42681</v>
      </c>
      <c r="C30" s="71">
        <v>0</v>
      </c>
      <c r="D30" s="20" t="s">
        <v>1336</v>
      </c>
    </row>
    <row r="31" spans="1:4" ht="11.1" customHeight="1" x14ac:dyDescent="0.2">
      <c r="A31" s="58" t="s">
        <v>217</v>
      </c>
      <c r="B31" s="36"/>
      <c r="C31" s="36">
        <v>14980</v>
      </c>
      <c r="D31" s="20" t="s">
        <v>1337</v>
      </c>
    </row>
    <row r="32" spans="1:4" ht="11.1" customHeight="1" x14ac:dyDescent="0.2">
      <c r="A32" s="76" t="s">
        <v>1363</v>
      </c>
      <c r="B32" s="73">
        <v>50112</v>
      </c>
      <c r="C32" s="71">
        <v>0</v>
      </c>
      <c r="D32" s="20" t="s">
        <v>1337</v>
      </c>
    </row>
    <row r="33" spans="1:4" ht="11.1" customHeight="1" x14ac:dyDescent="0.2">
      <c r="A33" s="76" t="s">
        <v>1364</v>
      </c>
      <c r="B33" s="73">
        <v>2655</v>
      </c>
      <c r="C33" s="71">
        <v>0</v>
      </c>
      <c r="D33" s="20" t="s">
        <v>1337</v>
      </c>
    </row>
    <row r="34" spans="1:4" ht="11.1" customHeight="1" x14ac:dyDescent="0.2">
      <c r="A34" s="76" t="s">
        <v>485</v>
      </c>
      <c r="B34" s="73">
        <v>26604</v>
      </c>
      <c r="C34" s="36">
        <v>10067</v>
      </c>
      <c r="D34" s="20" t="s">
        <v>1337</v>
      </c>
    </row>
    <row r="35" spans="1:4" ht="11.1" customHeight="1" x14ac:dyDescent="0.2">
      <c r="A35" s="76" t="s">
        <v>1365</v>
      </c>
      <c r="B35" s="75">
        <v>21728.799999999999</v>
      </c>
      <c r="C35" s="71">
        <v>0</v>
      </c>
      <c r="D35" s="20" t="s">
        <v>1337</v>
      </c>
    </row>
    <row r="36" spans="1:4" ht="11.1" customHeight="1" x14ac:dyDescent="0.2">
      <c r="A36" s="58" t="s">
        <v>544</v>
      </c>
      <c r="B36" s="36"/>
      <c r="C36" s="36">
        <v>24200</v>
      </c>
      <c r="D36" s="20" t="s">
        <v>1337</v>
      </c>
    </row>
    <row r="37" spans="1:4" ht="11.1" customHeight="1" x14ac:dyDescent="0.2">
      <c r="A37" s="76" t="s">
        <v>489</v>
      </c>
      <c r="B37" s="72">
        <v>1578232.98</v>
      </c>
      <c r="C37" s="23">
        <v>993211.99</v>
      </c>
    </row>
    <row r="38" spans="1:4" ht="11.1" customHeight="1" x14ac:dyDescent="0.2">
      <c r="A38" s="76" t="s">
        <v>1366</v>
      </c>
      <c r="B38" s="73">
        <v>132730</v>
      </c>
      <c r="C38" s="71">
        <v>0</v>
      </c>
      <c r="D38" s="20" t="s">
        <v>1336</v>
      </c>
    </row>
    <row r="39" spans="1:4" ht="11.1" customHeight="1" x14ac:dyDescent="0.2">
      <c r="A39" s="76" t="s">
        <v>1367</v>
      </c>
      <c r="B39" s="73">
        <v>27900</v>
      </c>
      <c r="C39" s="71">
        <v>0</v>
      </c>
      <c r="D39" s="20" t="s">
        <v>1336</v>
      </c>
    </row>
    <row r="40" spans="1:4" ht="11.1" customHeight="1" x14ac:dyDescent="0.2">
      <c r="A40" s="76" t="s">
        <v>1368</v>
      </c>
      <c r="B40" s="75">
        <v>16303.2</v>
      </c>
      <c r="C40" s="71">
        <v>0</v>
      </c>
      <c r="D40" s="20" t="s">
        <v>1337</v>
      </c>
    </row>
    <row r="41" spans="1:4" ht="11.1" customHeight="1" x14ac:dyDescent="0.2">
      <c r="A41" s="76" t="s">
        <v>1369</v>
      </c>
      <c r="B41" s="73">
        <v>52500</v>
      </c>
      <c r="C41" s="71">
        <v>0</v>
      </c>
      <c r="D41" s="20" t="s">
        <v>1336</v>
      </c>
    </row>
    <row r="42" spans="1:4" ht="11.1" customHeight="1" x14ac:dyDescent="0.2">
      <c r="A42" s="58" t="s">
        <v>548</v>
      </c>
      <c r="B42" s="36"/>
      <c r="C42" s="36">
        <v>9240</v>
      </c>
      <c r="D42" s="20" t="s">
        <v>1336</v>
      </c>
    </row>
    <row r="43" spans="1:4" ht="11.1" customHeight="1" x14ac:dyDescent="0.2">
      <c r="A43" s="76" t="s">
        <v>551</v>
      </c>
      <c r="B43" s="75">
        <v>182263.5</v>
      </c>
      <c r="C43" s="23">
        <v>2411.3200000000002</v>
      </c>
      <c r="D43" s="20" t="s">
        <v>1337</v>
      </c>
    </row>
    <row r="44" spans="1:4" ht="11.1" customHeight="1" x14ac:dyDescent="0.2">
      <c r="A44" s="76" t="s">
        <v>556</v>
      </c>
      <c r="B44" s="73">
        <v>3908070</v>
      </c>
      <c r="C44" s="36">
        <v>3561041</v>
      </c>
    </row>
    <row r="45" spans="1:4" ht="11.1" customHeight="1" x14ac:dyDescent="0.2">
      <c r="A45" s="76" t="s">
        <v>1370</v>
      </c>
      <c r="B45" s="73">
        <v>105189</v>
      </c>
      <c r="C45" s="71">
        <v>0</v>
      </c>
      <c r="D45" s="20" t="s">
        <v>1336</v>
      </c>
    </row>
    <row r="46" spans="1:4" ht="11.1" customHeight="1" x14ac:dyDescent="0.2">
      <c r="A46" s="76" t="s">
        <v>671</v>
      </c>
      <c r="B46" s="73">
        <v>265872</v>
      </c>
      <c r="C46" s="36">
        <v>210168</v>
      </c>
    </row>
    <row r="47" spans="1:4" ht="11.1" customHeight="1" x14ac:dyDescent="0.2">
      <c r="A47" s="76" t="s">
        <v>1371</v>
      </c>
      <c r="B47" s="75">
        <v>6946.2</v>
      </c>
      <c r="C47" s="71">
        <v>0</v>
      </c>
      <c r="D47" s="20" t="s">
        <v>1336</v>
      </c>
    </row>
    <row r="48" spans="1:4" ht="11.1" customHeight="1" x14ac:dyDescent="0.2">
      <c r="A48" s="76" t="s">
        <v>1372</v>
      </c>
      <c r="B48" s="75">
        <v>3812.8</v>
      </c>
      <c r="C48" s="71">
        <v>0</v>
      </c>
      <c r="D48" s="20" t="s">
        <v>1337</v>
      </c>
    </row>
    <row r="49" spans="1:4" ht="11.1" customHeight="1" x14ac:dyDescent="0.2">
      <c r="A49" s="58" t="s">
        <v>683</v>
      </c>
      <c r="B49" s="36"/>
      <c r="C49" s="36">
        <v>378000</v>
      </c>
    </row>
    <row r="50" spans="1:4" ht="11.1" customHeight="1" x14ac:dyDescent="0.2">
      <c r="A50" s="58" t="s">
        <v>687</v>
      </c>
      <c r="B50" s="23"/>
      <c r="C50" s="23">
        <v>180391.25</v>
      </c>
    </row>
    <row r="51" spans="1:4" ht="11.1" customHeight="1" x14ac:dyDescent="0.2">
      <c r="A51" s="76" t="s">
        <v>1373</v>
      </c>
      <c r="B51" s="73">
        <v>99000</v>
      </c>
      <c r="C51" s="71">
        <v>0</v>
      </c>
      <c r="D51" s="20" t="s">
        <v>1337</v>
      </c>
    </row>
    <row r="52" spans="1:4" ht="11.1" customHeight="1" x14ac:dyDescent="0.2">
      <c r="A52" s="76" t="s">
        <v>1374</v>
      </c>
      <c r="B52" s="73">
        <v>6000</v>
      </c>
      <c r="C52" s="71">
        <v>0</v>
      </c>
      <c r="D52" s="20" t="s">
        <v>1337</v>
      </c>
    </row>
    <row r="53" spans="1:4" ht="11.1" customHeight="1" x14ac:dyDescent="0.2">
      <c r="A53" s="58" t="s">
        <v>691</v>
      </c>
      <c r="B53" s="36"/>
      <c r="C53" s="36">
        <v>10200</v>
      </c>
      <c r="D53" s="20" t="s">
        <v>1337</v>
      </c>
    </row>
    <row r="54" spans="1:4" ht="11.1" customHeight="1" x14ac:dyDescent="0.2">
      <c r="A54" s="76" t="s">
        <v>1345</v>
      </c>
      <c r="B54" s="72">
        <v>502543.98</v>
      </c>
      <c r="C54" s="23">
        <v>472210.87</v>
      </c>
    </row>
    <row r="55" spans="1:4" ht="11.1" customHeight="1" x14ac:dyDescent="0.2">
      <c r="A55" s="76" t="s">
        <v>805</v>
      </c>
      <c r="B55" s="72">
        <v>132290.01999999999</v>
      </c>
      <c r="C55" s="23">
        <v>48358.62</v>
      </c>
    </row>
    <row r="56" spans="1:4" ht="11.1" customHeight="1" x14ac:dyDescent="0.2">
      <c r="A56" s="58" t="s">
        <v>1313</v>
      </c>
      <c r="B56" s="23"/>
      <c r="C56" s="23">
        <v>170771.06</v>
      </c>
      <c r="D56" s="20" t="s">
        <v>1337</v>
      </c>
    </row>
    <row r="57" spans="1:4" ht="11.1" customHeight="1" x14ac:dyDescent="0.2">
      <c r="A57" s="76" t="s">
        <v>1375</v>
      </c>
      <c r="B57" s="73">
        <v>29968</v>
      </c>
      <c r="C57" s="71">
        <v>0</v>
      </c>
      <c r="D57" s="20" t="s">
        <v>1336</v>
      </c>
    </row>
    <row r="58" spans="1:4" ht="11.1" customHeight="1" x14ac:dyDescent="0.2">
      <c r="A58" s="76" t="s">
        <v>1376</v>
      </c>
      <c r="B58" s="73">
        <v>27924</v>
      </c>
      <c r="C58" s="71">
        <v>0</v>
      </c>
      <c r="D58" s="20" t="s">
        <v>1336</v>
      </c>
    </row>
    <row r="59" spans="1:4" ht="11.1" customHeight="1" x14ac:dyDescent="0.2">
      <c r="A59" s="58" t="s">
        <v>1316</v>
      </c>
      <c r="B59" s="36"/>
      <c r="C59" s="36">
        <v>10280</v>
      </c>
      <c r="D59" s="20" t="s">
        <v>1337</v>
      </c>
    </row>
    <row r="60" spans="1:4" ht="11.1" customHeight="1" x14ac:dyDescent="0.2">
      <c r="A60" s="76" t="s">
        <v>1377</v>
      </c>
      <c r="B60" s="73">
        <v>7110</v>
      </c>
      <c r="C60" s="71">
        <v>0</v>
      </c>
      <c r="D60" s="20" t="s">
        <v>1337</v>
      </c>
    </row>
    <row r="61" spans="1:4" ht="11.1" customHeight="1" x14ac:dyDescent="0.2">
      <c r="A61" s="58" t="s">
        <v>1319</v>
      </c>
      <c r="B61" s="23"/>
      <c r="C61" s="23">
        <v>15000.12</v>
      </c>
      <c r="D61" s="20" t="s">
        <v>1336</v>
      </c>
    </row>
    <row r="62" spans="1:4" ht="11.1" customHeight="1" x14ac:dyDescent="0.2">
      <c r="A62" s="76" t="s">
        <v>1322</v>
      </c>
      <c r="B62" s="75">
        <v>90173.5</v>
      </c>
      <c r="C62" s="23">
        <v>64122.75</v>
      </c>
      <c r="D62" s="20" t="s">
        <v>1336</v>
      </c>
    </row>
    <row r="63" spans="1:4" ht="11.1" customHeight="1" x14ac:dyDescent="0.2">
      <c r="A63" s="76" t="s">
        <v>1330</v>
      </c>
      <c r="B63" s="73">
        <v>200000</v>
      </c>
      <c r="C63" s="36">
        <v>103360</v>
      </c>
    </row>
    <row r="64" spans="1:4" ht="11.45" customHeight="1" x14ac:dyDescent="0.2">
      <c r="A64" s="76" t="s">
        <v>220</v>
      </c>
      <c r="B64" s="75">
        <v>826789.41</v>
      </c>
      <c r="C64" s="36">
        <f>1130720.05+66281.86</f>
        <v>1197001.9100000001</v>
      </c>
    </row>
  </sheetData>
  <autoFilter ref="A8:B63" xr:uid="{477FA06F-02FC-4371-B256-38FEEDE2EAB8}">
    <filterColumn colId="0">
      <colorFilter dxfId="2"/>
    </filterColumn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EB0D-F6B9-4BBD-AE9B-7C3435C13DCD}">
  <sheetPr filterMode="1">
    <outlinePr summaryBelow="0" summaryRight="0"/>
    <pageSetUpPr autoPageBreaks="0" fitToPage="1"/>
  </sheetPr>
  <dimension ref="A1:E43"/>
  <sheetViews>
    <sheetView workbookViewId="0">
      <selection activeCell="C40" sqref="C40"/>
    </sheetView>
  </sheetViews>
  <sheetFormatPr defaultColWidth="9" defaultRowHeight="11.45" customHeight="1" outlineLevelRow="1" x14ac:dyDescent="0.2"/>
  <cols>
    <col min="1" max="1" width="59.7109375" style="18" customWidth="1"/>
    <col min="2" max="2" width="14.140625" style="18" customWidth="1"/>
    <col min="3" max="3" width="13.42578125" style="20" bestFit="1" customWidth="1"/>
    <col min="4" max="4" width="9" style="20"/>
    <col min="5" max="5" width="13.42578125" style="20" bestFit="1" customWidth="1"/>
    <col min="6" max="16384" width="9" style="20"/>
  </cols>
  <sheetData>
    <row r="1" spans="1:3" s="18" customFormat="1" ht="9.9499999999999993" customHeight="1" x14ac:dyDescent="0.2"/>
    <row r="2" spans="1:3" s="18" customFormat="1" ht="12.95" customHeight="1" outlineLevel="1" x14ac:dyDescent="0.2">
      <c r="A2" s="19" t="s">
        <v>130</v>
      </c>
    </row>
    <row r="3" spans="1:3" s="18" customFormat="1" ht="12.95" customHeight="1" outlineLevel="1" x14ac:dyDescent="0.2"/>
    <row r="4" spans="1:3" s="18" customFormat="1" ht="12.95" customHeight="1" outlineLevel="1" x14ac:dyDescent="0.2"/>
    <row r="5" spans="1:3" s="18" customFormat="1" ht="12.95" customHeight="1" outlineLevel="1" x14ac:dyDescent="0.2"/>
    <row r="6" spans="1:3" s="18" customFormat="1" ht="12.95" customHeight="1" outlineLevel="1" x14ac:dyDescent="0.2"/>
    <row r="7" spans="1:3" s="18" customFormat="1" ht="9.9499999999999993" customHeight="1" x14ac:dyDescent="0.2"/>
    <row r="8" spans="1:3" ht="12.95" customHeight="1" x14ac:dyDescent="0.2">
      <c r="A8" s="59" t="s">
        <v>136</v>
      </c>
      <c r="B8" s="60" t="s">
        <v>140</v>
      </c>
    </row>
    <row r="9" spans="1:3" ht="12.95" customHeight="1" x14ac:dyDescent="0.2">
      <c r="A9" s="59" t="s">
        <v>141</v>
      </c>
      <c r="B9" s="61"/>
    </row>
    <row r="10" spans="1:3" ht="26.1" customHeight="1" x14ac:dyDescent="0.2">
      <c r="A10" s="59" t="s">
        <v>142</v>
      </c>
      <c r="B10" s="62"/>
    </row>
    <row r="11" spans="1:3" ht="11.1" customHeight="1" x14ac:dyDescent="0.2">
      <c r="A11" s="58" t="s">
        <v>144</v>
      </c>
      <c r="B11" s="23">
        <v>48371.94</v>
      </c>
      <c r="C11" s="20" t="s">
        <v>1337</v>
      </c>
    </row>
    <row r="12" spans="1:3" ht="11.1" customHeight="1" x14ac:dyDescent="0.2">
      <c r="A12" s="58" t="s">
        <v>150</v>
      </c>
      <c r="B12" s="23">
        <v>47547.040000000001</v>
      </c>
      <c r="C12" s="20" t="s">
        <v>1337</v>
      </c>
    </row>
    <row r="13" spans="1:3" ht="11.1" customHeight="1" x14ac:dyDescent="0.2">
      <c r="A13" s="58" t="s">
        <v>156</v>
      </c>
      <c r="B13" s="36">
        <v>29700</v>
      </c>
      <c r="C13" s="20" t="s">
        <v>1335</v>
      </c>
    </row>
    <row r="14" spans="1:3" ht="11.1" customHeight="1" x14ac:dyDescent="0.2">
      <c r="A14" s="58" t="s">
        <v>160</v>
      </c>
      <c r="B14" s="36">
        <v>60249</v>
      </c>
      <c r="C14" s="20" t="s">
        <v>1337</v>
      </c>
    </row>
    <row r="15" spans="1:3" ht="11.1" customHeight="1" x14ac:dyDescent="0.2">
      <c r="A15" s="58" t="s">
        <v>163</v>
      </c>
      <c r="B15" s="38">
        <v>16912.5</v>
      </c>
      <c r="C15" s="20" t="s">
        <v>1336</v>
      </c>
    </row>
    <row r="16" spans="1:3" ht="11.1" customHeight="1" x14ac:dyDescent="0.2">
      <c r="A16" s="58" t="s">
        <v>166</v>
      </c>
      <c r="B16" s="36">
        <v>65000</v>
      </c>
      <c r="C16" s="20" t="s">
        <v>1336</v>
      </c>
    </row>
    <row r="17" spans="1:5" ht="11.1" customHeight="1" x14ac:dyDescent="0.2">
      <c r="A17" s="58" t="s">
        <v>169</v>
      </c>
      <c r="B17" s="23">
        <v>409689.22</v>
      </c>
      <c r="C17" s="20" t="s">
        <v>1335</v>
      </c>
    </row>
    <row r="18" spans="1:5" ht="11.1" customHeight="1" x14ac:dyDescent="0.2">
      <c r="A18" s="58" t="s">
        <v>181</v>
      </c>
      <c r="B18" s="36">
        <v>111600</v>
      </c>
      <c r="C18" s="20" t="s">
        <v>1336</v>
      </c>
      <c r="E18" s="20" t="s">
        <v>1336</v>
      </c>
    </row>
    <row r="19" spans="1:5" ht="11.1" customHeight="1" x14ac:dyDescent="0.2">
      <c r="A19" s="58" t="s">
        <v>184</v>
      </c>
      <c r="B19" s="36">
        <v>7034</v>
      </c>
      <c r="C19" s="20" t="s">
        <v>1337</v>
      </c>
      <c r="E19" s="20" t="s">
        <v>1337</v>
      </c>
    </row>
    <row r="20" spans="1:5" ht="11.1" customHeight="1" x14ac:dyDescent="0.2">
      <c r="A20" s="58" t="s">
        <v>188</v>
      </c>
      <c r="B20" s="36">
        <v>613750</v>
      </c>
      <c r="C20" s="20" t="s">
        <v>1335</v>
      </c>
    </row>
    <row r="21" spans="1:5" ht="11.1" customHeight="1" x14ac:dyDescent="0.2">
      <c r="A21" s="58" t="s">
        <v>197</v>
      </c>
      <c r="B21" s="23">
        <v>2346.0500000000002</v>
      </c>
      <c r="C21" s="20" t="s">
        <v>1336</v>
      </c>
    </row>
    <row r="22" spans="1:5" ht="11.1" customHeight="1" x14ac:dyDescent="0.2">
      <c r="A22" s="58" t="s">
        <v>202</v>
      </c>
      <c r="B22" s="36">
        <v>41430</v>
      </c>
      <c r="C22" s="20" t="s">
        <v>1337</v>
      </c>
    </row>
    <row r="23" spans="1:5" ht="11.1" customHeight="1" x14ac:dyDescent="0.2">
      <c r="A23" s="58" t="s">
        <v>205</v>
      </c>
      <c r="B23" s="36">
        <v>20610</v>
      </c>
      <c r="C23" s="20" t="s">
        <v>1337</v>
      </c>
    </row>
    <row r="24" spans="1:5" ht="11.1" customHeight="1" x14ac:dyDescent="0.2">
      <c r="A24" s="58" t="s">
        <v>217</v>
      </c>
      <c r="B24" s="36">
        <v>14980</v>
      </c>
      <c r="C24" s="20" t="s">
        <v>1337</v>
      </c>
    </row>
    <row r="25" spans="1:5" ht="11.1" customHeight="1" x14ac:dyDescent="0.2">
      <c r="A25" s="58" t="s">
        <v>485</v>
      </c>
      <c r="B25" s="36">
        <v>10067</v>
      </c>
      <c r="C25" s="20" t="s">
        <v>1337</v>
      </c>
    </row>
    <row r="26" spans="1:5" ht="11.1" customHeight="1" x14ac:dyDescent="0.2">
      <c r="A26" s="58" t="s">
        <v>489</v>
      </c>
      <c r="B26" s="23">
        <v>993211.99</v>
      </c>
      <c r="C26" s="20" t="s">
        <v>1335</v>
      </c>
    </row>
    <row r="27" spans="1:5" ht="11.1" customHeight="1" x14ac:dyDescent="0.2">
      <c r="A27" s="58" t="s">
        <v>544</v>
      </c>
      <c r="B27" s="36">
        <v>24200</v>
      </c>
      <c r="C27" s="20" t="s">
        <v>1337</v>
      </c>
    </row>
    <row r="28" spans="1:5" ht="11.1" customHeight="1" x14ac:dyDescent="0.2">
      <c r="A28" s="58" t="s">
        <v>548</v>
      </c>
      <c r="B28" s="36">
        <v>9240</v>
      </c>
      <c r="C28" s="20" t="s">
        <v>1336</v>
      </c>
    </row>
    <row r="29" spans="1:5" ht="11.1" customHeight="1" x14ac:dyDescent="0.2">
      <c r="A29" s="58" t="s">
        <v>551</v>
      </c>
      <c r="B29" s="23">
        <v>2411.3200000000002</v>
      </c>
      <c r="C29" s="20" t="s">
        <v>1337</v>
      </c>
    </row>
    <row r="30" spans="1:5" ht="11.1" customHeight="1" x14ac:dyDescent="0.2">
      <c r="A30" s="58" t="s">
        <v>556</v>
      </c>
      <c r="B30" s="36">
        <v>3561041</v>
      </c>
      <c r="C30" s="20" t="s">
        <v>1335</v>
      </c>
    </row>
    <row r="31" spans="1:5" ht="11.1" customHeight="1" x14ac:dyDescent="0.2">
      <c r="A31" s="58" t="s">
        <v>671</v>
      </c>
      <c r="B31" s="36">
        <v>210168</v>
      </c>
      <c r="C31" s="20" t="s">
        <v>1335</v>
      </c>
    </row>
    <row r="32" spans="1:5" ht="11.1" customHeight="1" x14ac:dyDescent="0.2">
      <c r="A32" s="58" t="s">
        <v>683</v>
      </c>
      <c r="B32" s="36">
        <v>378000</v>
      </c>
      <c r="C32" s="20" t="s">
        <v>1335</v>
      </c>
    </row>
    <row r="33" spans="1:3" ht="11.1" customHeight="1" x14ac:dyDescent="0.2">
      <c r="A33" s="58" t="s">
        <v>687</v>
      </c>
      <c r="B33" s="23">
        <v>180391.25</v>
      </c>
      <c r="C33" s="20" t="s">
        <v>1335</v>
      </c>
    </row>
    <row r="34" spans="1:3" ht="11.1" customHeight="1" x14ac:dyDescent="0.2">
      <c r="A34" s="58" t="s">
        <v>691</v>
      </c>
      <c r="B34" s="36">
        <v>10200</v>
      </c>
      <c r="C34" s="20" t="s">
        <v>1337</v>
      </c>
    </row>
    <row r="35" spans="1:3" ht="11.1" customHeight="1" x14ac:dyDescent="0.2">
      <c r="A35" s="58" t="s">
        <v>694</v>
      </c>
      <c r="B35" s="23">
        <v>472210.87</v>
      </c>
      <c r="C35" s="20" t="s">
        <v>1335</v>
      </c>
    </row>
    <row r="36" spans="1:3" ht="11.1" customHeight="1" x14ac:dyDescent="0.2">
      <c r="A36" s="58" t="s">
        <v>805</v>
      </c>
      <c r="B36" s="23">
        <v>48358.62</v>
      </c>
      <c r="C36" s="20" t="s">
        <v>1335</v>
      </c>
    </row>
    <row r="37" spans="1:3" ht="11.1" customHeight="1" x14ac:dyDescent="0.2">
      <c r="A37" s="58" t="s">
        <v>1313</v>
      </c>
      <c r="B37" s="23">
        <v>170771.06</v>
      </c>
      <c r="C37" s="20" t="s">
        <v>1337</v>
      </c>
    </row>
    <row r="38" spans="1:3" ht="11.1" customHeight="1" x14ac:dyDescent="0.2">
      <c r="A38" s="58" t="s">
        <v>1316</v>
      </c>
      <c r="B38" s="36">
        <v>10280</v>
      </c>
      <c r="C38" s="20" t="s">
        <v>1337</v>
      </c>
    </row>
    <row r="39" spans="1:3" ht="11.1" customHeight="1" x14ac:dyDescent="0.2">
      <c r="A39" s="58" t="s">
        <v>1319</v>
      </c>
      <c r="B39" s="23">
        <v>15000.12</v>
      </c>
      <c r="C39" s="20" t="s">
        <v>1336</v>
      </c>
    </row>
    <row r="40" spans="1:3" ht="11.1" customHeight="1" x14ac:dyDescent="0.2">
      <c r="A40" s="58" t="s">
        <v>1322</v>
      </c>
      <c r="B40" s="23">
        <v>64122.75</v>
      </c>
      <c r="C40" s="20" t="s">
        <v>1336</v>
      </c>
    </row>
    <row r="41" spans="1:3" ht="11.1" customHeight="1" x14ac:dyDescent="0.2">
      <c r="A41" s="58" t="s">
        <v>1330</v>
      </c>
      <c r="B41" s="36">
        <v>103360</v>
      </c>
      <c r="C41" s="20" t="s">
        <v>1335</v>
      </c>
    </row>
    <row r="42" spans="1:3" ht="11.45" customHeight="1" x14ac:dyDescent="0.2">
      <c r="A42" s="58" t="s">
        <v>220</v>
      </c>
      <c r="B42" s="36">
        <f>1130720.05+66281.86</f>
        <v>1197001.9100000001</v>
      </c>
    </row>
    <row r="43" spans="1:3" ht="11.45" customHeight="1" x14ac:dyDescent="0.2">
      <c r="B43" s="20"/>
    </row>
  </sheetData>
  <autoFilter ref="A10:B41" xr:uid="{6594C55A-DAD3-4EE3-8B05-723590ADE6E5}">
    <filterColumn colId="0">
      <colorFilter dxfId="1"/>
    </filterColumn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BB5D-81D3-4D4C-8DA4-F2B554AAD4AC}">
  <sheetPr filterMode="1">
    <outlinePr summaryBelow="0" summaryRight="0"/>
    <pageSetUpPr autoPageBreaks="0" fitToPage="1"/>
  </sheetPr>
  <dimension ref="A1:K77"/>
  <sheetViews>
    <sheetView workbookViewId="0">
      <selection activeCell="A8" sqref="A8:E30"/>
    </sheetView>
  </sheetViews>
  <sheetFormatPr defaultColWidth="9" defaultRowHeight="11.45" customHeight="1" outlineLevelRow="1" x14ac:dyDescent="0.2"/>
  <cols>
    <col min="1" max="1" width="35.42578125" style="69" customWidth="1"/>
    <col min="2" max="2" width="24" style="69" customWidth="1"/>
    <col min="3" max="3" width="24.42578125" style="71" customWidth="1"/>
    <col min="4" max="4" width="24.7109375" style="71" customWidth="1"/>
    <col min="5" max="5" width="24.140625" style="71" customWidth="1"/>
    <col min="6" max="16384" width="9" style="71"/>
  </cols>
  <sheetData>
    <row r="1" spans="1:11" s="69" customFormat="1" ht="9.9499999999999993" customHeight="1" x14ac:dyDescent="0.2"/>
    <row r="2" spans="1:11" s="69" customFormat="1" ht="12.95" customHeight="1" outlineLevel="1" x14ac:dyDescent="0.2">
      <c r="A2" s="70" t="s">
        <v>130</v>
      </c>
    </row>
    <row r="3" spans="1:11" s="69" customFormat="1" ht="12.95" customHeight="1" outlineLevel="1" x14ac:dyDescent="0.2"/>
    <row r="4" spans="1:11" s="69" customFormat="1" ht="12.95" customHeight="1" outlineLevel="1" x14ac:dyDescent="0.2">
      <c r="A4" s="69" t="s">
        <v>1378</v>
      </c>
    </row>
    <row r="5" spans="1:11" s="69" customFormat="1" ht="12.95" customHeight="1" outlineLevel="1" x14ac:dyDescent="0.2"/>
    <row r="6" spans="1:11" s="69" customFormat="1" ht="12.95" customHeight="1" outlineLevel="1" x14ac:dyDescent="0.2"/>
    <row r="7" spans="1:11" s="69" customFormat="1" ht="9.9499999999999993" customHeight="1" x14ac:dyDescent="0.2"/>
    <row r="8" spans="1:11" ht="57.75" customHeight="1" x14ac:dyDescent="0.2">
      <c r="A8" s="87" t="s">
        <v>24</v>
      </c>
      <c r="B8" s="86" t="s">
        <v>1382</v>
      </c>
      <c r="C8" s="86" t="s">
        <v>1381</v>
      </c>
      <c r="D8" s="86" t="s">
        <v>1383</v>
      </c>
      <c r="E8" s="86" t="s">
        <v>1384</v>
      </c>
    </row>
    <row r="9" spans="1:11" ht="11.1" customHeight="1" x14ac:dyDescent="0.2">
      <c r="A9" s="76" t="s">
        <v>144</v>
      </c>
      <c r="B9" s="82">
        <v>116214.52</v>
      </c>
      <c r="C9" s="82">
        <f>VLOOKUP(A9,'1-ый квартал 2024'!A11:B42,2,FALSE)</f>
        <v>48371.94</v>
      </c>
      <c r="D9" s="83">
        <f>C9-B9</f>
        <v>-67842.58</v>
      </c>
      <c r="E9" s="88">
        <f>C9/B9-1</f>
        <v>-0.58377025521423653</v>
      </c>
      <c r="K9" s="20" t="s">
        <v>1337</v>
      </c>
    </row>
    <row r="10" spans="1:11" ht="11.1" customHeight="1" x14ac:dyDescent="0.2">
      <c r="A10" s="76" t="s">
        <v>169</v>
      </c>
      <c r="B10" s="82">
        <v>213364</v>
      </c>
      <c r="C10" s="82">
        <v>409689.22</v>
      </c>
      <c r="D10" s="83">
        <f t="shared" ref="D10:D30" si="0">C10-B10</f>
        <v>196325.21999999997</v>
      </c>
      <c r="E10" s="88">
        <f t="shared" ref="E10:E30" si="1">C10/B10-1</f>
        <v>0.92014219830899302</v>
      </c>
    </row>
    <row r="11" spans="1:11" ht="11.1" customHeight="1" x14ac:dyDescent="0.2">
      <c r="A11" s="76" t="s">
        <v>181</v>
      </c>
      <c r="B11" s="82">
        <v>421800</v>
      </c>
      <c r="C11" s="82">
        <v>111600</v>
      </c>
      <c r="D11" s="83">
        <f t="shared" si="0"/>
        <v>-310200</v>
      </c>
      <c r="E11" s="88">
        <f t="shared" si="1"/>
        <v>-0.73541963015647227</v>
      </c>
      <c r="K11" s="20" t="s">
        <v>1336</v>
      </c>
    </row>
    <row r="12" spans="1:11" ht="11.1" customHeight="1" x14ac:dyDescent="0.2">
      <c r="A12" s="76" t="s">
        <v>188</v>
      </c>
      <c r="B12" s="82">
        <v>471810</v>
      </c>
      <c r="C12" s="82">
        <v>613750</v>
      </c>
      <c r="D12" s="83">
        <f t="shared" si="0"/>
        <v>141940</v>
      </c>
      <c r="E12" s="88">
        <f t="shared" si="1"/>
        <v>0.30084144041033456</v>
      </c>
    </row>
    <row r="13" spans="1:11" ht="11.1" customHeight="1" x14ac:dyDescent="0.2">
      <c r="A13" s="76" t="s">
        <v>197</v>
      </c>
      <c r="B13" s="82">
        <v>112682.24000000001</v>
      </c>
      <c r="C13" s="82">
        <v>2346.0500000000002</v>
      </c>
      <c r="D13" s="83">
        <f t="shared" si="0"/>
        <v>-110336.19</v>
      </c>
      <c r="E13" s="88">
        <f t="shared" si="1"/>
        <v>-0.97917994885440685</v>
      </c>
      <c r="K13" s="20" t="s">
        <v>1336</v>
      </c>
    </row>
    <row r="14" spans="1:11" ht="11.1" customHeight="1" x14ac:dyDescent="0.2">
      <c r="A14" s="76" t="s">
        <v>205</v>
      </c>
      <c r="B14" s="82">
        <v>41000</v>
      </c>
      <c r="C14" s="82">
        <v>20610</v>
      </c>
      <c r="D14" s="83">
        <f t="shared" si="0"/>
        <v>-20390</v>
      </c>
      <c r="E14" s="88">
        <f t="shared" si="1"/>
        <v>-0.4973170731707317</v>
      </c>
      <c r="K14" s="20" t="s">
        <v>1337</v>
      </c>
    </row>
    <row r="15" spans="1:11" ht="11.1" customHeight="1" x14ac:dyDescent="0.2">
      <c r="A15" s="76" t="s">
        <v>485</v>
      </c>
      <c r="B15" s="82">
        <v>26604</v>
      </c>
      <c r="C15" s="82">
        <v>10067</v>
      </c>
      <c r="D15" s="83">
        <f t="shared" si="0"/>
        <v>-16537</v>
      </c>
      <c r="E15" s="88">
        <f t="shared" si="1"/>
        <v>-0.62159825590136819</v>
      </c>
      <c r="K15" s="20" t="s">
        <v>1337</v>
      </c>
    </row>
    <row r="16" spans="1:11" ht="11.1" customHeight="1" x14ac:dyDescent="0.2">
      <c r="A16" s="76" t="s">
        <v>489</v>
      </c>
      <c r="B16" s="82">
        <v>1578232.98</v>
      </c>
      <c r="C16" s="82">
        <v>993211.99</v>
      </c>
      <c r="D16" s="83">
        <f t="shared" si="0"/>
        <v>-585020.99</v>
      </c>
      <c r="E16" s="88">
        <f t="shared" si="1"/>
        <v>-0.37068100680547178</v>
      </c>
    </row>
    <row r="17" spans="1:11" ht="11.1" customHeight="1" x14ac:dyDescent="0.2">
      <c r="A17" s="76" t="s">
        <v>551</v>
      </c>
      <c r="B17" s="82">
        <v>182263.5</v>
      </c>
      <c r="C17" s="84">
        <v>2411.3200000000002</v>
      </c>
      <c r="D17" s="83">
        <f t="shared" si="0"/>
        <v>-179852.18</v>
      </c>
      <c r="E17" s="88">
        <f t="shared" si="1"/>
        <v>-0.98677014322670198</v>
      </c>
      <c r="K17" s="20" t="s">
        <v>1337</v>
      </c>
    </row>
    <row r="18" spans="1:11" ht="11.1" customHeight="1" x14ac:dyDescent="0.2">
      <c r="A18" s="76" t="s">
        <v>556</v>
      </c>
      <c r="B18" s="82">
        <v>3908070</v>
      </c>
      <c r="C18" s="84">
        <v>3561041</v>
      </c>
      <c r="D18" s="83">
        <f t="shared" si="0"/>
        <v>-347029</v>
      </c>
      <c r="E18" s="88">
        <f t="shared" si="1"/>
        <v>-8.8798051211979367E-2</v>
      </c>
    </row>
    <row r="19" spans="1:11" ht="11.1" customHeight="1" x14ac:dyDescent="0.2">
      <c r="A19" s="76" t="s">
        <v>671</v>
      </c>
      <c r="B19" s="82">
        <v>265872</v>
      </c>
      <c r="C19" s="84">
        <v>210168</v>
      </c>
      <c r="D19" s="83">
        <f t="shared" si="0"/>
        <v>-55704</v>
      </c>
      <c r="E19" s="88">
        <f t="shared" si="1"/>
        <v>-0.20951435277125841</v>
      </c>
    </row>
    <row r="20" spans="1:11" ht="11.1" customHeight="1" x14ac:dyDescent="0.2">
      <c r="A20" s="58" t="s">
        <v>687</v>
      </c>
      <c r="B20" s="84"/>
      <c r="C20" s="84">
        <v>180391.25</v>
      </c>
      <c r="D20" s="83">
        <f t="shared" si="0"/>
        <v>180391.25</v>
      </c>
      <c r="E20" s="88" t="s">
        <v>116</v>
      </c>
    </row>
    <row r="21" spans="1:11" ht="11.1" customHeight="1" x14ac:dyDescent="0.2">
      <c r="A21" s="76" t="s">
        <v>1345</v>
      </c>
      <c r="B21" s="82">
        <v>502543.98</v>
      </c>
      <c r="C21" s="84">
        <v>472210.87</v>
      </c>
      <c r="D21" s="83">
        <f t="shared" si="0"/>
        <v>-30333.109999999986</v>
      </c>
      <c r="E21" s="88">
        <f t="shared" si="1"/>
        <v>-6.0359115236043648E-2</v>
      </c>
    </row>
    <row r="22" spans="1:11" ht="11.1" customHeight="1" x14ac:dyDescent="0.2">
      <c r="A22" s="76" t="s">
        <v>805</v>
      </c>
      <c r="B22" s="82">
        <v>132290.01999999999</v>
      </c>
      <c r="C22" s="84">
        <v>48358.62</v>
      </c>
      <c r="D22" s="83">
        <f t="shared" si="0"/>
        <v>-83931.4</v>
      </c>
      <c r="E22" s="88">
        <f t="shared" si="1"/>
        <v>-0.63444997589387309</v>
      </c>
    </row>
    <row r="23" spans="1:11" ht="11.1" customHeight="1" x14ac:dyDescent="0.2">
      <c r="A23" s="76" t="s">
        <v>1322</v>
      </c>
      <c r="B23" s="82">
        <v>90173.5</v>
      </c>
      <c r="C23" s="84">
        <v>64122.75</v>
      </c>
      <c r="D23" s="83">
        <f t="shared" si="0"/>
        <v>-26050.75</v>
      </c>
      <c r="E23" s="88">
        <f t="shared" si="1"/>
        <v>-0.28889585077655855</v>
      </c>
      <c r="K23" s="20" t="s">
        <v>1336</v>
      </c>
    </row>
    <row r="24" spans="1:11" ht="11.1" customHeight="1" x14ac:dyDescent="0.2">
      <c r="A24" s="76" t="s">
        <v>1330</v>
      </c>
      <c r="B24" s="82">
        <v>200000</v>
      </c>
      <c r="C24" s="84">
        <v>103360</v>
      </c>
      <c r="D24" s="83">
        <f t="shared" si="0"/>
        <v>-96640</v>
      </c>
      <c r="E24" s="88">
        <f t="shared" si="1"/>
        <v>-0.48319999999999996</v>
      </c>
    </row>
    <row r="25" spans="1:11" ht="11.45" customHeight="1" x14ac:dyDescent="0.2">
      <c r="A25" s="76" t="s">
        <v>220</v>
      </c>
      <c r="B25" s="82">
        <v>826789.41</v>
      </c>
      <c r="C25" s="84">
        <f>1130720.05+66281.86</f>
        <v>1197001.9100000001</v>
      </c>
      <c r="D25" s="83">
        <f t="shared" si="0"/>
        <v>370212.50000000012</v>
      </c>
      <c r="E25" s="88">
        <f t="shared" si="1"/>
        <v>0.44777121661488151</v>
      </c>
    </row>
    <row r="26" spans="1:11" ht="11.1" customHeight="1" x14ac:dyDescent="0.2">
      <c r="A26" s="58" t="s">
        <v>156</v>
      </c>
      <c r="B26" s="84"/>
      <c r="C26" s="84">
        <v>29700</v>
      </c>
      <c r="D26" s="83">
        <f t="shared" si="0"/>
        <v>29700</v>
      </c>
      <c r="E26" s="88" t="s">
        <v>116</v>
      </c>
    </row>
    <row r="27" spans="1:11" ht="11.1" customHeight="1" x14ac:dyDescent="0.2">
      <c r="A27" s="58" t="s">
        <v>683</v>
      </c>
      <c r="B27" s="84"/>
      <c r="C27" s="84">
        <v>378000</v>
      </c>
      <c r="D27" s="83">
        <f t="shared" si="0"/>
        <v>378000</v>
      </c>
      <c r="E27" s="88" t="s">
        <v>116</v>
      </c>
    </row>
    <row r="28" spans="1:11" ht="11.1" customHeight="1" x14ac:dyDescent="0.2">
      <c r="A28" s="76" t="s">
        <v>1336</v>
      </c>
      <c r="B28" s="82">
        <v>602278.19999999995</v>
      </c>
      <c r="C28" s="82">
        <v>106152.62</v>
      </c>
      <c r="D28" s="83">
        <f t="shared" si="0"/>
        <v>-496125.57999999996</v>
      </c>
      <c r="E28" s="88">
        <f t="shared" si="1"/>
        <v>-0.82374819477112071</v>
      </c>
      <c r="K28" s="20"/>
    </row>
    <row r="29" spans="1:11" ht="11.1" customHeight="1" x14ac:dyDescent="0.2">
      <c r="A29" s="76" t="s">
        <v>1337</v>
      </c>
      <c r="B29" s="82">
        <v>238527.08000000002</v>
      </c>
      <c r="C29" s="82">
        <v>386691.1</v>
      </c>
      <c r="D29" s="83">
        <f t="shared" si="0"/>
        <v>148164.01999999996</v>
      </c>
      <c r="E29" s="88">
        <f t="shared" si="1"/>
        <v>0.62116225964783522</v>
      </c>
      <c r="K29" s="20"/>
    </row>
    <row r="30" spans="1:11" ht="11.1" customHeight="1" x14ac:dyDescent="0.2">
      <c r="A30" s="76" t="s">
        <v>1340</v>
      </c>
      <c r="B30" s="85">
        <f>SUBTOTAL(9,B9:B29)</f>
        <v>9930515.4299999997</v>
      </c>
      <c r="C30" s="85">
        <f>SUBTOTAL(9,C9:C29)</f>
        <v>8949255.6399999987</v>
      </c>
      <c r="D30" s="83">
        <f t="shared" si="0"/>
        <v>-981259.79000000097</v>
      </c>
      <c r="E30" s="88">
        <f t="shared" si="1"/>
        <v>-9.8812573920949109E-2</v>
      </c>
      <c r="K30" s="20"/>
    </row>
    <row r="31" spans="1:11" ht="11.1" customHeight="1" x14ac:dyDescent="0.2">
      <c r="A31" s="76"/>
      <c r="B31" s="72"/>
      <c r="D31" s="20"/>
    </row>
    <row r="32" spans="1:11" ht="11.1" customHeight="1" x14ac:dyDescent="0.2">
      <c r="A32" s="76"/>
      <c r="B32" s="72"/>
      <c r="D32" s="20"/>
    </row>
    <row r="33" spans="1:4" ht="11.1" customHeight="1" x14ac:dyDescent="0.2">
      <c r="A33" s="76"/>
      <c r="B33" s="72"/>
      <c r="D33" s="20"/>
    </row>
    <row r="34" spans="1:4" ht="11.1" customHeight="1" x14ac:dyDescent="0.2">
      <c r="A34" s="76"/>
      <c r="B34" s="72"/>
      <c r="D34" s="20"/>
    </row>
    <row r="35" spans="1:4" ht="11.1" customHeight="1" x14ac:dyDescent="0.2">
      <c r="A35" s="76"/>
      <c r="B35" s="72"/>
      <c r="D35" s="20"/>
    </row>
    <row r="36" spans="1:4" ht="11.1" customHeight="1" x14ac:dyDescent="0.2">
      <c r="A36" s="76" t="s">
        <v>1354</v>
      </c>
      <c r="B36" s="73">
        <v>17280</v>
      </c>
      <c r="C36" s="71">
        <v>0</v>
      </c>
      <c r="D36" s="20" t="s">
        <v>1337</v>
      </c>
    </row>
    <row r="37" spans="1:4" ht="11.1" customHeight="1" x14ac:dyDescent="0.2">
      <c r="A37" s="76" t="s">
        <v>1357</v>
      </c>
      <c r="B37" s="73">
        <v>5900</v>
      </c>
      <c r="C37" s="71">
        <v>0</v>
      </c>
      <c r="D37" s="20" t="s">
        <v>1337</v>
      </c>
    </row>
    <row r="38" spans="1:4" ht="11.1" customHeight="1" x14ac:dyDescent="0.2">
      <c r="A38" s="58" t="s">
        <v>150</v>
      </c>
      <c r="B38" s="23"/>
      <c r="C38" s="23">
        <v>47547.040000000001</v>
      </c>
      <c r="D38" s="20" t="s">
        <v>1337</v>
      </c>
    </row>
    <row r="39" spans="1:4" ht="11.1" customHeight="1" x14ac:dyDescent="0.2">
      <c r="A39" s="58" t="s">
        <v>160</v>
      </c>
      <c r="B39" s="23"/>
      <c r="C39" s="36">
        <v>60249</v>
      </c>
      <c r="D39" s="20" t="s">
        <v>1337</v>
      </c>
    </row>
    <row r="40" spans="1:4" ht="11.1" customHeight="1" x14ac:dyDescent="0.2">
      <c r="A40" s="58" t="s">
        <v>184</v>
      </c>
      <c r="B40" s="36"/>
      <c r="C40" s="36">
        <v>7034</v>
      </c>
      <c r="D40" s="80" t="s">
        <v>1337</v>
      </c>
    </row>
    <row r="41" spans="1:4" ht="11.1" customHeight="1" x14ac:dyDescent="0.2">
      <c r="A41" s="76" t="s">
        <v>1361</v>
      </c>
      <c r="B41" s="72">
        <v>8625.2800000000007</v>
      </c>
      <c r="C41" s="71">
        <v>0</v>
      </c>
      <c r="D41" s="20" t="s">
        <v>1337</v>
      </c>
    </row>
    <row r="42" spans="1:4" ht="11.1" customHeight="1" x14ac:dyDescent="0.2">
      <c r="A42" s="58" t="s">
        <v>202</v>
      </c>
      <c r="B42" s="36"/>
      <c r="C42" s="36">
        <v>41430</v>
      </c>
      <c r="D42" s="20" t="s">
        <v>1337</v>
      </c>
    </row>
    <row r="43" spans="1:4" ht="11.1" customHeight="1" x14ac:dyDescent="0.2">
      <c r="A43" s="58" t="s">
        <v>217</v>
      </c>
      <c r="B43" s="36"/>
      <c r="C43" s="36">
        <v>14980</v>
      </c>
      <c r="D43" s="20" t="s">
        <v>1337</v>
      </c>
    </row>
    <row r="44" spans="1:4" ht="11.1" customHeight="1" x14ac:dyDescent="0.2">
      <c r="A44" s="76" t="s">
        <v>1363</v>
      </c>
      <c r="B44" s="73">
        <v>50112</v>
      </c>
      <c r="C44" s="71">
        <v>0</v>
      </c>
      <c r="D44" s="20" t="s">
        <v>1337</v>
      </c>
    </row>
    <row r="45" spans="1:4" ht="11.1" customHeight="1" x14ac:dyDescent="0.2">
      <c r="A45" s="76" t="s">
        <v>1364</v>
      </c>
      <c r="B45" s="73">
        <v>2655</v>
      </c>
      <c r="C45" s="71">
        <v>0</v>
      </c>
      <c r="D45" s="20" t="s">
        <v>1337</v>
      </c>
    </row>
    <row r="46" spans="1:4" ht="11.1" customHeight="1" x14ac:dyDescent="0.2">
      <c r="A46" s="76" t="s">
        <v>1365</v>
      </c>
      <c r="B46" s="75">
        <v>21728.799999999999</v>
      </c>
      <c r="C46" s="71">
        <v>0</v>
      </c>
      <c r="D46" s="20" t="s">
        <v>1337</v>
      </c>
    </row>
    <row r="47" spans="1:4" ht="11.1" customHeight="1" x14ac:dyDescent="0.2">
      <c r="A47" s="58" t="s">
        <v>544</v>
      </c>
      <c r="B47" s="36"/>
      <c r="C47" s="36">
        <v>24200</v>
      </c>
      <c r="D47" s="20" t="s">
        <v>1337</v>
      </c>
    </row>
    <row r="48" spans="1:4" ht="11.1" customHeight="1" x14ac:dyDescent="0.2">
      <c r="A48" s="76" t="s">
        <v>1368</v>
      </c>
      <c r="B48" s="75">
        <v>16303.2</v>
      </c>
      <c r="C48" s="71">
        <v>0</v>
      </c>
      <c r="D48" s="20" t="s">
        <v>1337</v>
      </c>
    </row>
    <row r="49" spans="1:4" ht="11.1" customHeight="1" x14ac:dyDescent="0.2">
      <c r="A49" s="76" t="s">
        <v>1372</v>
      </c>
      <c r="B49" s="75">
        <v>3812.8</v>
      </c>
      <c r="C49" s="71">
        <v>0</v>
      </c>
      <c r="D49" s="20" t="s">
        <v>1337</v>
      </c>
    </row>
    <row r="50" spans="1:4" ht="11.1" customHeight="1" x14ac:dyDescent="0.2">
      <c r="A50" s="76" t="s">
        <v>1373</v>
      </c>
      <c r="B50" s="73">
        <v>99000</v>
      </c>
      <c r="C50" s="71">
        <v>0</v>
      </c>
      <c r="D50" s="20" t="s">
        <v>1337</v>
      </c>
    </row>
    <row r="51" spans="1:4" ht="11.1" customHeight="1" x14ac:dyDescent="0.2">
      <c r="A51" s="76" t="s">
        <v>1374</v>
      </c>
      <c r="B51" s="73">
        <v>6000</v>
      </c>
      <c r="C51" s="71">
        <v>0</v>
      </c>
      <c r="D51" s="20" t="s">
        <v>1337</v>
      </c>
    </row>
    <row r="52" spans="1:4" ht="11.1" customHeight="1" x14ac:dyDescent="0.2">
      <c r="A52" s="58" t="s">
        <v>691</v>
      </c>
      <c r="B52" s="36"/>
      <c r="C52" s="36">
        <v>10200</v>
      </c>
      <c r="D52" s="20" t="s">
        <v>1337</v>
      </c>
    </row>
    <row r="53" spans="1:4" ht="11.1" customHeight="1" x14ac:dyDescent="0.2">
      <c r="A53" s="58" t="s">
        <v>1313</v>
      </c>
      <c r="B53" s="23"/>
      <c r="C53" s="23">
        <v>170771.06</v>
      </c>
      <c r="D53" s="20" t="s">
        <v>1337</v>
      </c>
    </row>
    <row r="54" spans="1:4" ht="11.1" customHeight="1" x14ac:dyDescent="0.2">
      <c r="A54" s="58" t="s">
        <v>1316</v>
      </c>
      <c r="B54" s="36"/>
      <c r="C54" s="36">
        <v>10280</v>
      </c>
      <c r="D54" s="20" t="s">
        <v>1337</v>
      </c>
    </row>
    <row r="55" spans="1:4" ht="11.1" customHeight="1" x14ac:dyDescent="0.2">
      <c r="A55" s="76" t="s">
        <v>1377</v>
      </c>
      <c r="B55" s="73">
        <v>7110</v>
      </c>
      <c r="C55" s="71">
        <v>0</v>
      </c>
      <c r="D55" s="20" t="s">
        <v>1337</v>
      </c>
    </row>
    <row r="56" spans="1:4" ht="11.1" customHeight="1" x14ac:dyDescent="0.2">
      <c r="A56" s="76"/>
      <c r="B56" s="74">
        <f>SUBTOTAL(9,B36:B55)</f>
        <v>238527.08000000002</v>
      </c>
      <c r="C56" s="81">
        <f>SUBTOTAL(9,C36:C55)</f>
        <v>386691.1</v>
      </c>
      <c r="D56" s="20"/>
    </row>
    <row r="57" spans="1:4" ht="11.1" customHeight="1" x14ac:dyDescent="0.2">
      <c r="A57" s="76"/>
      <c r="B57" s="72"/>
      <c r="D57" s="20"/>
    </row>
    <row r="58" spans="1:4" ht="11.1" customHeight="1" x14ac:dyDescent="0.2">
      <c r="A58" s="76"/>
      <c r="B58" s="72"/>
      <c r="D58" s="20"/>
    </row>
    <row r="59" spans="1:4" ht="11.1" customHeight="1" x14ac:dyDescent="0.2">
      <c r="A59" s="76"/>
      <c r="B59" s="72"/>
      <c r="D59" s="20"/>
    </row>
    <row r="60" spans="1:4" ht="11.1" customHeight="1" x14ac:dyDescent="0.2">
      <c r="A60" s="76" t="s">
        <v>1355</v>
      </c>
      <c r="B60" s="73">
        <v>2700</v>
      </c>
      <c r="C60" s="71">
        <v>0</v>
      </c>
      <c r="D60" s="80" t="s">
        <v>1336</v>
      </c>
    </row>
    <row r="61" spans="1:4" ht="11.1" customHeight="1" x14ac:dyDescent="0.2">
      <c r="A61" s="76" t="s">
        <v>1356</v>
      </c>
      <c r="B61" s="73">
        <v>69160</v>
      </c>
      <c r="C61" s="71">
        <v>0</v>
      </c>
      <c r="D61" s="20" t="s">
        <v>1336</v>
      </c>
    </row>
    <row r="62" spans="1:4" ht="11.1" customHeight="1" x14ac:dyDescent="0.2">
      <c r="A62" s="76" t="s">
        <v>1358</v>
      </c>
      <c r="B62" s="73">
        <v>54160</v>
      </c>
      <c r="C62" s="71">
        <v>0</v>
      </c>
      <c r="D62" s="20" t="s">
        <v>1336</v>
      </c>
    </row>
    <row r="63" spans="1:4" ht="11.1" customHeight="1" x14ac:dyDescent="0.2">
      <c r="A63" s="58" t="s">
        <v>163</v>
      </c>
      <c r="B63" s="23"/>
      <c r="C63" s="38">
        <v>16912.5</v>
      </c>
      <c r="D63" s="20" t="s">
        <v>1336</v>
      </c>
    </row>
    <row r="64" spans="1:4" ht="11.1" customHeight="1" x14ac:dyDescent="0.2">
      <c r="A64" s="58" t="s">
        <v>166</v>
      </c>
      <c r="B64" s="23"/>
      <c r="C64" s="36">
        <v>65000</v>
      </c>
      <c r="D64" s="20" t="s">
        <v>1336</v>
      </c>
    </row>
    <row r="65" spans="1:4" ht="11.1" customHeight="1" x14ac:dyDescent="0.2">
      <c r="A65" s="76" t="s">
        <v>1359</v>
      </c>
      <c r="B65" s="73">
        <v>5520</v>
      </c>
      <c r="C65" s="71">
        <v>0</v>
      </c>
      <c r="D65" s="20" t="s">
        <v>1336</v>
      </c>
    </row>
    <row r="66" spans="1:4" ht="11.1" customHeight="1" x14ac:dyDescent="0.2">
      <c r="A66" s="76" t="s">
        <v>1360</v>
      </c>
      <c r="B66" s="73">
        <v>44900</v>
      </c>
      <c r="C66" s="71">
        <v>0</v>
      </c>
      <c r="D66" s="20" t="s">
        <v>1336</v>
      </c>
    </row>
    <row r="67" spans="1:4" ht="11.1" customHeight="1" x14ac:dyDescent="0.2">
      <c r="A67" s="76" t="s">
        <v>1362</v>
      </c>
      <c r="B67" s="73">
        <v>42681</v>
      </c>
      <c r="C67" s="71">
        <v>0</v>
      </c>
      <c r="D67" s="20" t="s">
        <v>1336</v>
      </c>
    </row>
    <row r="68" spans="1:4" ht="11.1" customHeight="1" x14ac:dyDescent="0.2">
      <c r="A68" s="76" t="s">
        <v>1366</v>
      </c>
      <c r="B68" s="73">
        <v>132730</v>
      </c>
      <c r="C68" s="71">
        <v>0</v>
      </c>
      <c r="D68" s="20" t="s">
        <v>1336</v>
      </c>
    </row>
    <row r="69" spans="1:4" ht="11.1" customHeight="1" x14ac:dyDescent="0.2">
      <c r="A69" s="76" t="s">
        <v>1367</v>
      </c>
      <c r="B69" s="73">
        <v>27900</v>
      </c>
      <c r="C69" s="71">
        <v>0</v>
      </c>
      <c r="D69" s="20" t="s">
        <v>1336</v>
      </c>
    </row>
    <row r="70" spans="1:4" ht="11.1" customHeight="1" x14ac:dyDescent="0.2">
      <c r="A70" s="76" t="s">
        <v>1369</v>
      </c>
      <c r="B70" s="73">
        <v>52500</v>
      </c>
      <c r="C70" s="71">
        <v>0</v>
      </c>
      <c r="D70" s="20" t="s">
        <v>1336</v>
      </c>
    </row>
    <row r="71" spans="1:4" ht="11.1" customHeight="1" x14ac:dyDescent="0.2">
      <c r="A71" s="58" t="s">
        <v>548</v>
      </c>
      <c r="B71" s="36"/>
      <c r="C71" s="36">
        <v>9240</v>
      </c>
      <c r="D71" s="20" t="s">
        <v>1336</v>
      </c>
    </row>
    <row r="72" spans="1:4" ht="11.1" customHeight="1" x14ac:dyDescent="0.2">
      <c r="A72" s="76" t="s">
        <v>1370</v>
      </c>
      <c r="B72" s="73">
        <v>105189</v>
      </c>
      <c r="C72" s="71">
        <v>0</v>
      </c>
      <c r="D72" s="20" t="s">
        <v>1336</v>
      </c>
    </row>
    <row r="73" spans="1:4" ht="11.1" customHeight="1" x14ac:dyDescent="0.2">
      <c r="A73" s="76" t="s">
        <v>1371</v>
      </c>
      <c r="B73" s="75">
        <v>6946.2</v>
      </c>
      <c r="C73" s="71">
        <v>0</v>
      </c>
      <c r="D73" s="20" t="s">
        <v>1336</v>
      </c>
    </row>
    <row r="74" spans="1:4" ht="11.1" customHeight="1" x14ac:dyDescent="0.2">
      <c r="A74" s="76" t="s">
        <v>1375</v>
      </c>
      <c r="B74" s="73">
        <v>29968</v>
      </c>
      <c r="C74" s="71">
        <v>0</v>
      </c>
      <c r="D74" s="20" t="s">
        <v>1336</v>
      </c>
    </row>
    <row r="75" spans="1:4" ht="11.1" customHeight="1" x14ac:dyDescent="0.2">
      <c r="A75" s="76" t="s">
        <v>1376</v>
      </c>
      <c r="B75" s="73">
        <v>27924</v>
      </c>
      <c r="C75" s="71">
        <v>0</v>
      </c>
      <c r="D75" s="20" t="s">
        <v>1336</v>
      </c>
    </row>
    <row r="76" spans="1:4" ht="11.1" customHeight="1" x14ac:dyDescent="0.2">
      <c r="A76" s="58" t="s">
        <v>1319</v>
      </c>
      <c r="B76" s="23"/>
      <c r="C76" s="23">
        <v>15000.12</v>
      </c>
      <c r="D76" s="20" t="s">
        <v>1336</v>
      </c>
    </row>
    <row r="77" spans="1:4" ht="11.45" customHeight="1" x14ac:dyDescent="0.2">
      <c r="B77" s="74">
        <f>SUBTOTAL(9,B60:B76)</f>
        <v>602278.19999999995</v>
      </c>
      <c r="C77" s="81">
        <f>SUBTOTAL(9,C60:C76)</f>
        <v>106152.62</v>
      </c>
    </row>
  </sheetData>
  <autoFilter ref="A8:B78" xr:uid="{477FA06F-02FC-4371-B256-38FEEDE2EAB8}">
    <filterColumn colId="0">
      <colorFilter dxfId="0"/>
    </filterColumn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Остатки всего</vt:lpstr>
      <vt:lpstr>Склады</vt:lpstr>
      <vt:lpstr>Группы</vt:lpstr>
      <vt:lpstr>Предварительные оплаты</vt:lpstr>
      <vt:lpstr>РБ</vt:lpstr>
      <vt:lpstr>РФ</vt:lpstr>
      <vt:lpstr>Керхер</vt:lpstr>
      <vt:lpstr>Розница</vt:lpstr>
      <vt:lpstr>СМГ для ЧСТ</vt:lpstr>
      <vt:lpstr>СМГ для ЧСТ 1-ый квартал</vt:lpstr>
      <vt:lpstr>Поставщики Китай</vt:lpstr>
      <vt:lpstr>Закупки РФ-РФ</vt:lpstr>
      <vt:lpstr>Закупки РФ-РФ (таблица)</vt:lpstr>
      <vt:lpstr>4-ый квартал 2023</vt:lpstr>
      <vt:lpstr>1-ый квартал 2024</vt:lpstr>
      <vt:lpstr>4-ый квартал 2023 (сравнение)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Король Антон</dc:creator>
  <cp:lastModifiedBy>Логист1</cp:lastModifiedBy>
  <dcterms:created xsi:type="dcterms:W3CDTF">2015-06-05T18:19:34Z</dcterms:created>
  <dcterms:modified xsi:type="dcterms:W3CDTF">2026-10-22T08:24:02Z</dcterms:modified>
</cp:coreProperties>
</file>